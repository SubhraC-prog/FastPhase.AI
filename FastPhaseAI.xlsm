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r\Downloads\chromatography_ai\"/>
    </mc:Choice>
  </mc:AlternateContent>
  <xr:revisionPtr revIDLastSave="0" documentId="13_ncr:1_{EBA18B2A-4A29-4EBF-AA76-4675D8E568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1" r:id="rId1"/>
    <sheet name="SEARCH HISTORY" sheetId="2" r:id="rId2"/>
    <sheet name="SETTINGS" sheetId="3" r:id="rId3"/>
    <sheet name="TEMPLATES" sheetId="4" r:id="rId4"/>
    <sheet name="HELP" sheetId="5" r:id="rId5"/>
    <sheet name="ABOUT" sheetId="6" r:id="rId6"/>
    <sheet name="REFERENCES_MASTER" sheetId="7" r:id="rId7"/>
    <sheet name="HSM_COEFFICIENTS" sheetId="8" state="hidden" r:id="rId8"/>
    <sheet name="BUFFER_DATABASE" sheetId="9" state="hidden" r:id="rId9"/>
    <sheet name="ERROR_LOG" sheetId="10" state="hidden" r:id="rId10"/>
    <sheet name="VBA_CODE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<sst xmlns="http://schemas.openxmlformats.org/spreadsheetml/2006/main" count="966" uniqueCount="736">
  <si>
    <t>⬡  CHROMATOGRAPHY METHOD DEVELOPMENT SYSTEM  v3.0</t>
  </si>
  <si>
    <t>AI-Assisted HPLC Method Development  |  Input SMILES → Buffer · Solvent · Column recommendations</t>
  </si>
  <si>
    <t>▶  COMPOUND INPUT</t>
  </si>
  <si>
    <t>▶  ACTIONS</t>
  </si>
  <si>
    <t>SMILES String *</t>
  </si>
  <si>
    <t>CC(C)CC1=CC=C(C=C1)C(C)C(=O)O</t>
  </si>
  <si>
    <t>▶  GENERATE REPORT</t>
  </si>
  <si>
    <t>Compound Name</t>
  </si>
  <si>
    <t>✔  VALIDATE SMILES</t>
  </si>
  <si>
    <t>✖  CLEAR ALL</t>
  </si>
  <si>
    <t>Project ID</t>
  </si>
  <si>
    <t>💾  SAVE TEMPLATE</t>
  </si>
  <si>
    <t>Notes / Comments</t>
  </si>
  <si>
    <t>📊  VIEW LAST REPORT</t>
  </si>
  <si>
    <t>🔄  COMPARE METHODS</t>
  </si>
  <si>
    <t>Progress: 0%</t>
  </si>
  <si>
    <t>▶  LIVE PROPERTY PREVIEW</t>
  </si>
  <si>
    <t>▶  QUICK NAVIGATION</t>
  </si>
  <si>
    <t>LogP</t>
  </si>
  <si>
    <t>📋 SEARCH HISTORY</t>
  </si>
  <si>
    <t>⚙️  SETTINGS</t>
  </si>
  <si>
    <t>MW (g/mol)</t>
  </si>
  <si>
    <t>—</t>
  </si>
  <si>
    <t>📄 TEMPLATES</t>
  </si>
  <si>
    <t>❓ HELP</t>
  </si>
  <si>
    <t>TPSA (Å²)</t>
  </si>
  <si>
    <t>ℹ️  ABOUT</t>
  </si>
  <si>
    <t>📚 REFERENCES</t>
  </si>
  <si>
    <t>HBD / HBA</t>
  </si>
  <si>
    <t>Rotatable Bonds</t>
  </si>
  <si>
    <t>Rings</t>
  </si>
  <si>
    <t>Formula</t>
  </si>
  <si>
    <t>Lipinski Violations</t>
  </si>
  <si>
    <t>* Paste a valid SMILES string then click GENERATE REPORT. Python engine must be installed (see HELP sheet).</t>
  </si>
  <si>
    <t>SEARCH HISTORY &amp; AUDIT TRAIL</t>
  </si>
  <si>
    <t>Timestamp</t>
  </si>
  <si>
    <t>Report ID</t>
  </si>
  <si>
    <t>SMILES</t>
  </si>
  <si>
    <t>Project</t>
  </si>
  <si>
    <t>Status</t>
  </si>
  <si>
    <t>Overall
Confidence</t>
  </si>
  <si>
    <t>PhysChem
Score</t>
  </si>
  <si>
    <t>HSM
Score</t>
  </si>
  <si>
    <t>Buffer
Score</t>
  </si>
  <si>
    <t>Solvent
Score</t>
  </si>
  <si>
    <t>Column
Score</t>
  </si>
  <si>
    <t>Processing
Time (s)</t>
  </si>
  <si>
    <t>Excel Report</t>
  </si>
  <si>
    <t>PDF Report</t>
  </si>
  <si>
    <t>RPT-20260314-001</t>
  </si>
  <si>
    <t>Ibuprofen</t>
  </si>
  <si>
    <t>DEMO</t>
  </si>
  <si>
    <t>Success</t>
  </si>
  <si>
    <t>Reports/RPT-20260314-001.xlsx</t>
  </si>
  <si>
    <t>Reports/RPT-20260314-001.pdf</t>
  </si>
  <si>
    <t>SYSTEM SETTINGS</t>
  </si>
  <si>
    <t xml:space="preserve">  GENERAL</t>
  </si>
  <si>
    <t>Setting</t>
  </si>
  <si>
    <t>Value</t>
  </si>
  <si>
    <t>Valid Range / Options</t>
  </si>
  <si>
    <t>Output Directory</t>
  </si>
  <si>
    <t>./Reports/</t>
  </si>
  <si>
    <t>Folder path</t>
  </si>
  <si>
    <t>Auto-Open Reports</t>
  </si>
  <si>
    <t>Yes</t>
  </si>
  <si>
    <t>Yes / No</t>
  </si>
  <si>
    <t>Default Report Format</t>
  </si>
  <si>
    <t>Both</t>
  </si>
  <si>
    <t>Excel / PDF / Both</t>
  </si>
  <si>
    <t>Include References</t>
  </si>
  <si>
    <t>Include Regulatory Statements</t>
  </si>
  <si>
    <t>Debug Mode</t>
  </si>
  <si>
    <t>No</t>
  </si>
  <si>
    <t xml:space="preserve">  pH &amp; TEMPERATURE</t>
  </si>
  <si>
    <t>Default pH</t>
  </si>
  <si>
    <t>1.0 – 14.0</t>
  </si>
  <si>
    <t>Column Temperature (°C)</t>
  </si>
  <si>
    <t>0 – 100</t>
  </si>
  <si>
    <t>Buffer Concentration (mM)</t>
  </si>
  <si>
    <t>1 – 200</t>
  </si>
  <si>
    <t xml:space="preserve">  DETECTION</t>
  </si>
  <si>
    <t>Default Wavelength (nm)</t>
  </si>
  <si>
    <t>190 – 800</t>
  </si>
  <si>
    <t>UV Cutoff Margin (nm)</t>
  </si>
  <si>
    <t>5 – 50</t>
  </si>
  <si>
    <t xml:space="preserve">  COLUMN DEFAULTS</t>
  </si>
  <si>
    <t>Column Length (mm)</t>
  </si>
  <si>
    <t>50 – 300</t>
  </si>
  <si>
    <t>Column ID (mm)</t>
  </si>
  <si>
    <t>2.1 – 4.6</t>
  </si>
  <si>
    <t>Particle Size (µm)</t>
  </si>
  <si>
    <t>1.7 – 10</t>
  </si>
  <si>
    <t>Column Type</t>
  </si>
  <si>
    <t>silica</t>
  </si>
  <si>
    <t>silica / hybrid</t>
  </si>
  <si>
    <t xml:space="preserve">  HSM</t>
  </si>
  <si>
    <t>pH for κ' Calculation</t>
  </si>
  <si>
    <t>HSM Parameter Set</t>
  </si>
  <si>
    <t>Complete</t>
  </si>
  <si>
    <t>Complete / Essential</t>
  </si>
  <si>
    <t xml:space="preserve">  SCORING</t>
  </si>
  <si>
    <t>Confidence Threshold</t>
  </si>
  <si>
    <t>0.0 – 1.0</t>
  </si>
  <si>
    <t>Show Reference Citations</t>
  </si>
  <si>
    <t xml:space="preserve">  INTEGRATION</t>
  </si>
  <si>
    <t>Python Executable Path</t>
  </si>
  <si>
    <t>python</t>
  </si>
  <si>
    <t>Full path or 'python'</t>
  </si>
  <si>
    <t>Timeout (seconds)</t>
  </si>
  <si>
    <t>10 – 300</t>
  </si>
  <si>
    <t>Batch Size</t>
  </si>
  <si>
    <t>1 – 100</t>
  </si>
  <si>
    <t>REPORT TEMPLATES</t>
  </si>
  <si>
    <t>Template Name</t>
  </si>
  <si>
    <t>Description</t>
  </si>
  <si>
    <t>Format</t>
  </si>
  <si>
    <t>Sections</t>
  </si>
  <si>
    <t>Regulatory</t>
  </si>
  <si>
    <t>Default?</t>
  </si>
  <si>
    <t>Standard</t>
  </si>
  <si>
    <t>Core properties, top 3 buffer/solvent/column recommendations</t>
  </si>
  <si>
    <t>Excel+PDF</t>
  </si>
  <si>
    <t>Cover, Summary, PhysChem, HSM, Buffer, Solvent, Column, Method</t>
  </si>
  <si>
    <t>Detailed</t>
  </si>
  <si>
    <t>All properties, full scoring matrices, gradient optimisation</t>
  </si>
  <si>
    <t>All 15 Excel sheets + full PDF sections 1-13</t>
  </si>
  <si>
    <t>Enhanced: ICH Q2(R1), USP &lt;621&gt;, FDA alignment, audit trail</t>
  </si>
  <si>
    <t>PDF</t>
  </si>
  <si>
    <t>Full + Regulatory Alignment + Audit Trail</t>
  </si>
  <si>
    <t>Research</t>
  </si>
  <si>
    <t>Academic: full references, Kamlet-Taft, Abraham descriptors</t>
  </si>
  <si>
    <t>Full + Extended References</t>
  </si>
  <si>
    <t>Quick Scan</t>
  </si>
  <si>
    <t>1-page executive summary + top recommendation only</t>
  </si>
  <si>
    <t>Cover + Summary only</t>
  </si>
  <si>
    <t xml:space="preserve">  Custom Template Storage (rows 10+) — copy a template row and edit</t>
  </si>
  <si>
    <t>HELP &amp; DOCUMENTATION</t>
  </si>
  <si>
    <t xml:space="preserve">  QUICK START</t>
  </si>
  <si>
    <t>Step 1</t>
  </si>
  <si>
    <t>Paste a valid SMILES string into cell C5 on the DASHBOARD sheet.</t>
  </si>
  <si>
    <t>Step 2</t>
  </si>
  <si>
    <t>Enter compound name, project ID, and optional notes.</t>
  </si>
  <si>
    <t>Step 3</t>
  </si>
  <si>
    <t>Click ▶ GENERATE REPORT. A Python subprocess is launched.</t>
  </si>
  <si>
    <t>Step 4</t>
  </si>
  <si>
    <t>After ~15-30 s, reports open automatically in the Reports/ folder.</t>
  </si>
  <si>
    <t>Step 5</t>
  </si>
  <si>
    <t>All runs are logged in the SEARCH HISTORY sheet.</t>
  </si>
  <si>
    <t xml:space="preserve">  SMILES SYNTAX</t>
  </si>
  <si>
    <t>Atoms</t>
  </si>
  <si>
    <t>C=carbon, N=nitrogen, O=oxygen, S=sulfur, [Na]=sodium</t>
  </si>
  <si>
    <t>Bonds</t>
  </si>
  <si>
    <t>single(-), double(=), triple(#), aromatic(:)</t>
  </si>
  <si>
    <t>Branches</t>
  </si>
  <si>
    <t>C(=O)O — carboxylic acid branch</t>
  </si>
  <si>
    <t>C1CCCCC1 — cyclohexane (open/close with same number)</t>
  </si>
  <si>
    <t>Aromatic</t>
  </si>
  <si>
    <t>c1ccccc1 — benzene (lowercase = aromatic)</t>
  </si>
  <si>
    <t>Stereo</t>
  </si>
  <si>
    <t>@=R config, @@=S config (optional)</t>
  </si>
  <si>
    <t>Example</t>
  </si>
  <si>
    <t>CC(C)CC1=CC=C(C=C1)C(C)C(=O)O  →  Ibuprofen</t>
  </si>
  <si>
    <t>Validator</t>
  </si>
  <si>
    <t>Use the ✔ VALIDATE SMILES button to check before running</t>
  </si>
  <si>
    <t xml:space="preserve">  PARAMETER DEFINITIONS</t>
  </si>
  <si>
    <t>Partition coefficient (octanol/water). Crippen method (Wildman &amp; Crippen, 1999).</t>
  </si>
  <si>
    <t>LogD</t>
  </si>
  <si>
    <t>pH-dependent partition coefficient. Henderson-Hasselbalch (Avdeef, 2003).</t>
  </si>
  <si>
    <t>TPSA</t>
  </si>
  <si>
    <t>Topological Polar Surface Area. Ertl et al. (2000).</t>
  </si>
  <si>
    <t>eta'</t>
  </si>
  <si>
    <t>HSM hydrophobicity descriptor. Marchand et al. (2008).</t>
  </si>
  <si>
    <t>sigma'</t>
  </si>
  <si>
    <t>HSM steric resistance. Marchand et al. (2005).</t>
  </si>
  <si>
    <t>beta'</t>
  </si>
  <si>
    <t>HSM H-bond basicity. Abraham (1993).</t>
  </si>
  <si>
    <t>alpha'</t>
  </si>
  <si>
    <t>HSM H-bond acidity. Abraham (1993).</t>
  </si>
  <si>
    <t>kappa'</t>
  </si>
  <si>
    <t>HSM cationic charge. pH-dependent (Dolan et al., 2004).</t>
  </si>
  <si>
    <t>Fs factor</t>
  </si>
  <si>
    <t>Column equivalence: Fs≤3 equivalent, 3-5 similar, &gt;5 different (Dolan et al., 2004).</t>
  </si>
  <si>
    <t>beta_max</t>
  </si>
  <si>
    <t>Buffer capacity: 0.576×C at pH=pKa (Perrin &amp; Dempsey, 1974).</t>
  </si>
  <si>
    <t xml:space="preserve">  SYSTEM REQUIREMENTS</t>
  </si>
  <si>
    <t>Python</t>
  </si>
  <si>
    <t>3.9 or later  (3.11 recommended)</t>
  </si>
  <si>
    <t>RDKit</t>
  </si>
  <si>
    <t>Installed via conda: conda install -c conda-forge rdkit</t>
  </si>
  <si>
    <t>Packages</t>
  </si>
  <si>
    <t>pandas, numpy, openpyxl, scipy, reportlab  (see requirements.txt)</t>
  </si>
  <si>
    <t>Memory</t>
  </si>
  <si>
    <t>≥ 4 GB RAM for standard use</t>
  </si>
  <si>
    <t>OS</t>
  </si>
  <si>
    <t>Windows 10+, macOS 12+, or Linux</t>
  </si>
  <si>
    <t xml:space="preserve">  TROUBLESHOOTING</t>
  </si>
  <si>
    <t>Invalid SMILES</t>
  </si>
  <si>
    <t>Use ✔ VALIDATE button. Check brackets and ring closure numbers.</t>
  </si>
  <si>
    <t>Python not found</t>
  </si>
  <si>
    <t>Set full Python path in SETTINGS sheet → Python Executable Path.</t>
  </si>
  <si>
    <t>No report generated</t>
  </si>
  <si>
    <t>Check chromatography_ai.log in the script directory.</t>
  </si>
  <si>
    <t>Timeout</t>
  </si>
  <si>
    <t>Increase Timeout in SETTINGS. Default: 60 s.</t>
  </si>
  <si>
    <t>Missing modules</t>
  </si>
  <si>
    <t>Run: pip install -r requirements.txt --break-system-packages</t>
  </si>
  <si>
    <t>ABOUT THIS SYSTEM</t>
  </si>
  <si>
    <t>System Name</t>
  </si>
  <si>
    <t>AI-Assisted Chromatographic Method Development System</t>
  </si>
  <si>
    <t>Version</t>
  </si>
  <si>
    <t>3.0.0</t>
  </si>
  <si>
    <t>Release Date</t>
  </si>
  <si>
    <t>2026</t>
  </si>
  <si>
    <t>Architecture</t>
  </si>
  <si>
    <t>Excel (interface) + Python (engines) + VBA (bridge)</t>
  </si>
  <si>
    <t>Python Modules</t>
  </si>
  <si>
    <t>physchem_calculator, HSMsolute_check, buffer_selector,
solvent_selector, column_selector, gradient_optimizer</t>
  </si>
  <si>
    <t>CITATION</t>
  </si>
  <si>
    <t>Please cite</t>
  </si>
  <si>
    <t>This system integrates methods from:
• Snyder, Dolan &amp; Carr (2004) J. Chromatogr. A, 1060, 77-116  [HSM]
• Abraham (1993) Chem. Soc. Rev., 22, 73-83  [H-bonding scales]
• Wildman &amp; Crippen (1999) J. Chem. Inf. Comput. Sci., 39, 868-873  [LogP]
• Goldberg et al. (2002) J. Phys. Chem. Ref. Data, 31, 231-370  [Buffer pKa]
• Valkó (2004) J. Chromatogr. A, 1037, 299-310  [Solvent selection]</t>
  </si>
  <si>
    <t>LICENSE</t>
  </si>
  <si>
    <t>For research and method development use. See LICENSE.txt for full terms.</t>
  </si>
  <si>
    <t>DISCLAIMER</t>
  </si>
  <si>
    <t>All recommendations are AI-generated estimates. Validate all methods experimentally before use in regulated contexts.</t>
  </si>
  <si>
    <t>MASTER REFERENCE DATABASE</t>
  </si>
  <si>
    <t>Ref ID</t>
  </si>
  <si>
    <t>Authors</t>
  </si>
  <si>
    <t>Year</t>
  </si>
  <si>
    <t>Title</t>
  </si>
  <si>
    <t>Journal</t>
  </si>
  <si>
    <t>Volume</t>
  </si>
  <si>
    <t>Pages</t>
  </si>
  <si>
    <t>DOI / URL</t>
  </si>
  <si>
    <t>Module</t>
  </si>
  <si>
    <t>Notes</t>
  </si>
  <si>
    <t>WILDMAN_1999</t>
  </si>
  <si>
    <t>Wildman, S. A. &amp; Crippen, G. M.</t>
  </si>
  <si>
    <t>Prediction of physicochemical parameters by atomic contributions</t>
  </si>
  <si>
    <t>J. Chem. Inf. Comput. Sci.</t>
  </si>
  <si>
    <t>39</t>
  </si>
  <si>
    <t>868-873</t>
  </si>
  <si>
    <t>10.1021/ci990307l</t>
  </si>
  <si>
    <t>PhysChem</t>
  </si>
  <si>
    <t>Crippen/Wildman-Crippen LogP atom contributions (same model in RDKit)</t>
  </si>
  <si>
    <t>LIPINSKI_1997</t>
  </si>
  <si>
    <t>Lipinski, C. A., Lombardo, F., Dominy, B. W., &amp; Feeney, P. J.</t>
  </si>
  <si>
    <t>Experimental and computational approaches to estimate solubility and permeability</t>
  </si>
  <si>
    <t>Adv. Drug Deliv. Rev.</t>
  </si>
  <si>
    <t>23</t>
  </si>
  <si>
    <t>3-25</t>
  </si>
  <si>
    <t>10.1016/S0169-409X(96)00423-1</t>
  </si>
  <si>
    <t>Rule of Five: MW≤500, LogP≤5, HBD≤5, HBA≤10</t>
  </si>
  <si>
    <t>ERTL_2000</t>
  </si>
  <si>
    <t>Ertl, P., Rohde, B., &amp; Selzer, P.</t>
  </si>
  <si>
    <t>Fast calculation of molecular polar surface area as a sum of fragment-based contributions</t>
  </si>
  <si>
    <t>J. Med. Chem.</t>
  </si>
  <si>
    <t>43</t>
  </si>
  <si>
    <t>3714-3717</t>
  </si>
  <si>
    <t>10.1021/jm000942e</t>
  </si>
  <si>
    <t>Topological Polar Surface Area (TPSA) — RDKit implementation</t>
  </si>
  <si>
    <t>DELANEY_2004</t>
  </si>
  <si>
    <t>Delaney, J. S.</t>
  </si>
  <si>
    <t>ESOL: Estimating aqueous solubility directly from molecular structure</t>
  </si>
  <si>
    <t>J. Chem. Inf. Model.</t>
  </si>
  <si>
    <t>44</t>
  </si>
  <si>
    <t>1000-1005</t>
  </si>
  <si>
    <t>10.1021/ci034243x</t>
  </si>
  <si>
    <t>ESOL aqueous solubility model; LogS prediction</t>
  </si>
  <si>
    <t>VEBER_2002</t>
  </si>
  <si>
    <t>Veber, D. F., et al.</t>
  </si>
  <si>
    <t>Molecular properties that influence the oral bioavailability of drug candidates</t>
  </si>
  <si>
    <t>45</t>
  </si>
  <si>
    <t>2615-2623</t>
  </si>
  <si>
    <t>10.1021/jm020017n</t>
  </si>
  <si>
    <t>Veber filter: RotBonds≤10, TPSA≤140 Å²</t>
  </si>
  <si>
    <t>GHOSE_1999</t>
  </si>
  <si>
    <t>Ghose, A. K., Viswanadhan, V. N., &amp; Wendoloski, J. J.</t>
  </si>
  <si>
    <t>A knowledge-based approach in designing combinatorial or medicinal chemistry libraries</t>
  </si>
  <si>
    <t>J. Comb. Chem.</t>
  </si>
  <si>
    <t>1</t>
  </si>
  <si>
    <t>55-68</t>
  </si>
  <si>
    <t>10.1021/cc9800071</t>
  </si>
  <si>
    <t>Ghose filter: 160≤MW≤480, -0.4≤LogP≤5.6, 40≤MR≤130</t>
  </si>
  <si>
    <t>BICKERTON_2012</t>
  </si>
  <si>
    <t>Bickerton, G. R., Paolini, G. V., Besnard, J., Muresan, S., &amp; Hopkins, A. L.</t>
  </si>
  <si>
    <t>Quantifying the chemical beauty of drugs</t>
  </si>
  <si>
    <t>Nature Chemistry</t>
  </si>
  <si>
    <t>4</t>
  </si>
  <si>
    <t>90-98</t>
  </si>
  <si>
    <t>10.1038/nchem.1243</t>
  </si>
  <si>
    <t>Quantitative Estimate of Drug-likeness (QED) score</t>
  </si>
  <si>
    <t>AVDEEF_2003</t>
  </si>
  <si>
    <t>Avdeef, A.</t>
  </si>
  <si>
    <t>Absorption and Drug Development: Solubility, Permeability, and Charge State</t>
  </si>
  <si>
    <t>Wiley-Interscience</t>
  </si>
  <si>
    <t>1-416</t>
  </si>
  <si>
    <t>10.1002/0471461203</t>
  </si>
  <si>
    <t>Henderson-Hasselbalch LogD calculation method</t>
  </si>
  <si>
    <t>LABUTE_2000</t>
  </si>
  <si>
    <t>Labute, P.</t>
  </si>
  <si>
    <t>A widely applicable continuum solvent model for molecular charges and heats of solution</t>
  </si>
  <si>
    <t>J. Mol. Graph. Model.</t>
  </si>
  <si>
    <t>18</t>
  </si>
  <si>
    <t>464-477</t>
  </si>
  <si>
    <t>10.1016/S1093-3263(00)00068-1</t>
  </si>
  <si>
    <t>Labute Approximate Surface Area (ASA)</t>
  </si>
  <si>
    <t>HALL_1976</t>
  </si>
  <si>
    <t>Hall, L. H. &amp; Kier, L. B.</t>
  </si>
  <si>
    <t>The nature of structure-activity relationships and their relation to molecular connectivity</t>
  </si>
  <si>
    <t>Eur. J. Med. Chem.</t>
  </si>
  <si>
    <t>11</t>
  </si>
  <si>
    <t>539-548</t>
  </si>
  <si>
    <t>10.1016/0223-5234(76)90069-7</t>
  </si>
  <si>
    <t>Hall-Kier kappa shape indices (κ₁, κ₂, κ₃)</t>
  </si>
  <si>
    <t>VALKO_2004</t>
  </si>
  <si>
    <t>Valkó, K.</t>
  </si>
  <si>
    <t>Application of HPLC-based measurements of lipophilicity to model biological distribution</t>
  </si>
  <si>
    <t>J. Chromatogr. A</t>
  </si>
  <si>
    <t>1037</t>
  </si>
  <si>
    <t>299-310</t>
  </si>
  <si>
    <t>10.1016/j.chroma.2004.01.007</t>
  </si>
  <si>
    <t>PhysChem,Solvent</t>
  </si>
  <si>
    <t>Chromatographic Hydrophobicity Index (CHI); LogP matching rule</t>
  </si>
  <si>
    <t>SNYDER_2004</t>
  </si>
  <si>
    <t>Snyder, L. R., Dolan, J. W., &amp; Carr, P. W.</t>
  </si>
  <si>
    <t>The hydrophobic-subtraction model of reversed-phase column selectivity</t>
  </si>
  <si>
    <t>1060</t>
  </si>
  <si>
    <t>77-116</t>
  </si>
  <si>
    <t>10.1016/j.chroma.2004.08.121</t>
  </si>
  <si>
    <t>HSM,Column</t>
  </si>
  <si>
    <t>Foundational HSM equation; H,S*,A,B,C column parameters defined</t>
  </si>
  <si>
    <t>DOLAN_2004</t>
  </si>
  <si>
    <t>Dolan, J. W., et al.</t>
  </si>
  <si>
    <t>Choosing an equivalent replacement column for a reversed-phase LC assay</t>
  </si>
  <si>
    <t>1057</t>
  </si>
  <si>
    <t>59-74</t>
  </si>
  <si>
    <t>10.1016/j.chroma.2004.09.020</t>
  </si>
  <si>
    <t>Fs factor; basic compound scoring; kappa' pH dependence</t>
  </si>
  <si>
    <t>MARCHAND_2008</t>
  </si>
  <si>
    <t>Marchand, D. H., Snyder, L. R., &amp; Dolan, J. W.</t>
  </si>
  <si>
    <t>Characterization and applications of RP column selectivity based on HSM</t>
  </si>
  <si>
    <t>1191</t>
  </si>
  <si>
    <t>2-20</t>
  </si>
  <si>
    <t>10.1016/j.chroma.2007.11.101</t>
  </si>
  <si>
    <t>eta' estimation from LogP+MR; H-parameter ranges</t>
  </si>
  <si>
    <t>MARCHAND_2005</t>
  </si>
  <si>
    <t>Marchand, D. H., et al.</t>
  </si>
  <si>
    <t>Column selectivity in reversed-phase LC. VIII. Phenylalkyl and fluoro-substituted columns</t>
  </si>
  <si>
    <t>1062</t>
  </si>
  <si>
    <t>65-78</t>
  </si>
  <si>
    <t>10.1016/j.chroma.2004.11.014</t>
  </si>
  <si>
    <t>sigma' (S*) steric selectivity from Kappa shape indices</t>
  </si>
  <si>
    <t>ABRAHAM_1993</t>
  </si>
  <si>
    <t>Abraham, M. H.</t>
  </si>
  <si>
    <t>Scales of solute hydrogen-bonding: construction and application</t>
  </si>
  <si>
    <t>Chem. Soc. Rev.</t>
  </si>
  <si>
    <t>22</t>
  </si>
  <si>
    <t>73-83</t>
  </si>
  <si>
    <t>10.1039/CS9932200073</t>
  </si>
  <si>
    <t>HSM,Column,PhysChem</t>
  </si>
  <si>
    <t>alpha' (H-bond acidity) and beta' (H-bond basicity) scales</t>
  </si>
  <si>
    <t>TAYLOR_2021</t>
  </si>
  <si>
    <t>Taylor, T.</t>
  </si>
  <si>
    <t>A New View of Reversed-Phase HPLC Selectivity</t>
  </si>
  <si>
    <t>LCGC North America (online)</t>
  </si>
  <si>
    <t>https://www.chromatographyonline.com/view/new-view-reversed-phase-hplc-selectivity</t>
  </si>
  <si>
    <t>Column</t>
  </si>
  <si>
    <t>Acidic scoring: 2*eta'*H + 4*alpha'*B. NOTE: application note, not peer-reviewed.</t>
  </si>
  <si>
    <t>USP_PQRI</t>
  </si>
  <si>
    <t>USP PQRI</t>
  </si>
  <si>
    <t>Column Equivalence Database — H,S,A,B,C for &gt;700 RP columns</t>
  </si>
  <si>
    <t>United States Pharmacopeia</t>
  </si>
  <si>
    <t>https://apps.usp.org/app/USPNF/columnsDB.html</t>
  </si>
  <si>
    <t>Online database; access for full column set</t>
  </si>
  <si>
    <t>GOLDBERG_2002</t>
  </si>
  <si>
    <t>Goldberg, R. N., Kishore, N., &amp; Lennen, R. M.</t>
  </si>
  <si>
    <t>Thermodynamic quantities for the ionization reactions of buffers</t>
  </si>
  <si>
    <t>J. Phys. Chem. Ref. Data</t>
  </si>
  <si>
    <t>31</t>
  </si>
  <si>
    <t>231-370</t>
  </si>
  <si>
    <t>10.1063/1.1416902</t>
  </si>
  <si>
    <t>Buffer</t>
  </si>
  <si>
    <t>Authoritative pKa at 25°C + dpKa/dT. Phosphate: 2.148,7.198,12.35</t>
  </si>
  <si>
    <t>PERRIN_1974</t>
  </si>
  <si>
    <t>Perrin, D. D. &amp; Dempsey, B.</t>
  </si>
  <si>
    <t>Buffers for pH and Metal Ion Control</t>
  </si>
  <si>
    <t>Chapman &amp; Hall</t>
  </si>
  <si>
    <t>1-176</t>
  </si>
  <si>
    <t>10.1007/978-94-009-5874-6</t>
  </si>
  <si>
    <t>Buffer capacity: beta_max=0.576*C at pH=pKa</t>
  </si>
  <si>
    <t>KEBARLE_1993</t>
  </si>
  <si>
    <t>Kebarle, P. &amp; Tang, L.</t>
  </si>
  <si>
    <t>From ions in solution to ions in the gas phase: the mechanism of ESI-MS</t>
  </si>
  <si>
    <t>Anal. Chem.</t>
  </si>
  <si>
    <t>65</t>
  </si>
  <si>
    <t>972A-986A</t>
  </si>
  <si>
    <t>10.1021/ac00070a001</t>
  </si>
  <si>
    <t>Rule 5: Non-volatile buffers suppress ESI signal; use NH4OAc/formate</t>
  </si>
  <si>
    <t>BEYNON_1996</t>
  </si>
  <si>
    <t>Beynon, R. J. &amp; Easterby, J. S.</t>
  </si>
  <si>
    <t>Buffer Solutions: The Basics</t>
  </si>
  <si>
    <t>Oxford University Press</t>
  </si>
  <si>
    <t>1-96</t>
  </si>
  <si>
    <t>10.4324/9780203986554</t>
  </si>
  <si>
    <t>Rule 6: Tris dpKa/dT=-0.031/°C; temperature dependence of pKa</t>
  </si>
  <si>
    <t>OBRIEN_2001</t>
  </si>
  <si>
    <t>O'Brien, P. J. &amp; Herschlag, D.</t>
  </si>
  <si>
    <t>Catalytic promiscuity and the evolution of new enzymatic activities</t>
  </si>
  <si>
    <t>Biochemistry</t>
  </si>
  <si>
    <t>40</t>
  </si>
  <si>
    <t>5691-5699</t>
  </si>
  <si>
    <t>10.1021/bi0028892</t>
  </si>
  <si>
    <t>Rule 7: Amine buffers react with carbonyls; phosphate catalyses hydrolysis</t>
  </si>
  <si>
    <t>MARTELL_2004</t>
  </si>
  <si>
    <t>Martell, A. E. &amp; Smith, R. M.</t>
  </si>
  <si>
    <t>Critical Stability Constants</t>
  </si>
  <si>
    <t>Springer US</t>
  </si>
  <si>
    <t>1-6</t>
  </si>
  <si>
    <t>10.1007/978-1-4615-6761-5</t>
  </si>
  <si>
    <t>Rule 7.3: Citrate log K(Fe³⁺)=11.4; Rule 7.4: Borate+diols; Rule 10</t>
  </si>
  <si>
    <t>STAHLBERG_1999</t>
  </si>
  <si>
    <t>Ståhlberg, J.</t>
  </si>
  <si>
    <t>Retention models for ions in chromatography</t>
  </si>
  <si>
    <t>855</t>
  </si>
  <si>
    <t>3-55</t>
  </si>
  <si>
    <t>10.1016/S0021-9673(99)00176-4</t>
  </si>
  <si>
    <t>Rule 8: Ionic strength I=0.5*Σc_i*z_i²; optimal 20-50 mM</t>
  </si>
  <si>
    <t>SNYDER_2011</t>
  </si>
  <si>
    <t>Snyder, L. R., Kirkland, J. J., &amp; Dolan, J. W.</t>
  </si>
  <si>
    <t>Introduction to Modern Liquid Chromatography (3rd ed.)</t>
  </si>
  <si>
    <t>John Wiley &amp; Sons</t>
  </si>
  <si>
    <t>1-960</t>
  </si>
  <si>
    <t>10.1002/9780470508183</t>
  </si>
  <si>
    <t>Buffer,Solvent</t>
  </si>
  <si>
    <t>Rule 2: UV transparency (Ch.5); general LC principles</t>
  </si>
  <si>
    <t>SUBIRATS_2012</t>
  </si>
  <si>
    <t>Subirats, X., Bosch, E., &amp; Rosés, M.</t>
  </si>
  <si>
    <t>Stripping away the myths surrounding buffer selection in HPLC</t>
  </si>
  <si>
    <t>LCGC Europe</t>
  </si>
  <si>
    <t>25</t>
  </si>
  <si>
    <t>192-201</t>
  </si>
  <si>
    <t>Rule 3: Organic solvent compatibility; HILIC buffer requirements</t>
  </si>
  <si>
    <t>VITHA_2006</t>
  </si>
  <si>
    <t>Vitha, M. &amp; Carr, P. W.</t>
  </si>
  <si>
    <t>The chemical interpretation and practice of linear solvation energy relationships in chromatography</t>
  </si>
  <si>
    <t>1126</t>
  </si>
  <si>
    <t>143-194</t>
  </si>
  <si>
    <t>10.1016/j.chroma.2006.06.074</t>
  </si>
  <si>
    <t>Solvent</t>
  </si>
  <si>
    <t>Rule 2: HBD/HBA complementarity; Abraham LSER descriptors</t>
  </si>
  <si>
    <t>SNYDER_1974</t>
  </si>
  <si>
    <t>Snyder, L. R.</t>
  </si>
  <si>
    <t>Classification of the solvent properties of common liquids</t>
  </si>
  <si>
    <t>92</t>
  </si>
  <si>
    <t>223-230</t>
  </si>
  <si>
    <t>10.1016/S0021-9673(00)85627-7</t>
  </si>
  <si>
    <t>Rule 3: Snyder polarity index P'; selectivity triangle</t>
  </si>
  <si>
    <t>CARR_1993</t>
  </si>
  <si>
    <t>Carr, P. W.</t>
  </si>
  <si>
    <t>Solvatochromism, linear solvation energy relationships, and chromatography</t>
  </si>
  <si>
    <t>Microchemical Journal</t>
  </si>
  <si>
    <t>48</t>
  </si>
  <si>
    <t>4-28</t>
  </si>
  <si>
    <t>10.1016/0026-265X(93)90003-6</t>
  </si>
  <si>
    <t>Rule 4: Kamlet-Taft solvatochromic distance D</t>
  </si>
  <si>
    <t>LI_1997</t>
  </si>
  <si>
    <t>Li, J. &amp; Carr, P. W.</t>
  </si>
  <si>
    <t>Evaluation of temperature effects on selectivity in RPLC</t>
  </si>
  <si>
    <t>69</t>
  </si>
  <si>
    <t>2530-2536</t>
  </si>
  <si>
    <t>10.1021/ac961170s</t>
  </si>
  <si>
    <t>Rule 5: Viscosity/pressure; temperature dependence of viscosity</t>
  </si>
  <si>
    <t>DOLAN_1999</t>
  </si>
  <si>
    <t>Dolan, J. W.</t>
  </si>
  <si>
    <t>Selectivity in reversed-phase LC separations</t>
  </si>
  <si>
    <t>LCGC North America</t>
  </si>
  <si>
    <t>17</t>
  </si>
  <si>
    <t>518-522</t>
  </si>
  <si>
    <t>Rule 6: UV transparency for solvents</t>
  </si>
  <si>
    <t>NEUE_1997</t>
  </si>
  <si>
    <t>Neue, U. D.</t>
  </si>
  <si>
    <t>HPLC Columns: Theory, Technology, and Practice</t>
  </si>
  <si>
    <t>Wiley-VCH</t>
  </si>
  <si>
    <t>1-393</t>
  </si>
  <si>
    <t>10.1002/9783527614974</t>
  </si>
  <si>
    <t>Solvent,Column</t>
  </si>
  <si>
    <t>Rule 7: pH stability of silica (2-8) and hybrid columns (1-12)</t>
  </si>
  <si>
    <t>KAMLET_1983</t>
  </si>
  <si>
    <t>Kamlet, M. J., et al.</t>
  </si>
  <si>
    <t>Linear solvation energy relationships. IV. Correlations with and limitations of solvatochromic parameters</t>
  </si>
  <si>
    <t>J. Org. Chem.</t>
  </si>
  <si>
    <t>2877-2887</t>
  </si>
  <si>
    <t>10.1021/jo00165a018</t>
  </si>
  <si>
    <t>Kamlet-Taft parameters (pi*, alpha, beta) for solvent characterisation</t>
  </si>
  <si>
    <t>ABRAHAM_1990</t>
  </si>
  <si>
    <t>Abraham, M. H., et al.</t>
  </si>
  <si>
    <t>Hydrogen bonding. Part 9. Solute proton donor and proton acceptor scales</t>
  </si>
  <si>
    <t>J. Chem. Soc. Perkin Trans. 2</t>
  </si>
  <si>
    <t>521-529</t>
  </si>
  <si>
    <t>10.1039/P29900000521</t>
  </si>
  <si>
    <t>Abraham solute H-bond scales (alpha_2_H, beta_2_H)</t>
  </si>
  <si>
    <t>HSM DESCRIPTOR ESTIMATION COEFFICIENTS</t>
  </si>
  <si>
    <t>Parameter</t>
  </si>
  <si>
    <t>Weights / Constants</t>
  </si>
  <si>
    <t>Reference</t>
  </si>
  <si>
    <t>0.8*LogP + 0.3 + 0.2*(MR/15)</t>
  </si>
  <si>
    <t>LogP=Crippen; MR norm ref=15</t>
  </si>
  <si>
    <t>Marchand et al. 2008 (10.1016/j.chroma.2007.11.101)</t>
  </si>
  <si>
    <t>Range 0.0-3.0; clipped at bounds</t>
  </si>
  <si>
    <t>0.5 - 0.15*[(k1+k2+k3)/(3N)]*(1+0.1*alpha_HK) + 0.05*ln(rot+1) - 0.02*rings</t>
  </si>
  <si>
    <t>Kappa1,2,3 from RDKit; Hall-Kier alpha</t>
  </si>
  <si>
    <t>Marchand et al. 2005 (10.1016/j.chroma.2004.11.014)</t>
  </si>
  <si>
    <t>Range 0.0-0.5; lower=planar</t>
  </si>
  <si>
    <t>min(1, N_al*1.0 + N_ar*0.6 + CO*0.5 + Ether*0.3)</t>
  </si>
  <si>
    <t>Aliphatic N=1.0; Aromatic N=0.6; C=O=0.5; C-O-C=0.3</t>
  </si>
  <si>
    <t>Abraham 1993 (10.1039/CS9932200073)</t>
  </si>
  <si>
    <t>Fallback: 0.2*HBA if no pattern match</t>
  </si>
  <si>
    <t>min(1, COOH*0.8 + ArOH*0.7 + AmNH*0.5 + AlkOH*0.4)</t>
  </si>
  <si>
    <t>COOH=0.8; Phenol=0.7; Amide NH=0.5; Alcohol=0.4</t>
  </si>
  <si>
    <t>Fallback: 0.3*HBD if no pattern match</t>
  </si>
  <si>
    <t>N_q + f(pH)*(N1+N2+N3) + g(pH)*N_ar</t>
  </si>
  <si>
    <t>pH&lt;5: f=1,g=1; pH5-7: f=1,g=0.5; pH7-8: f=1,g=0.2; pH&gt;=8: f=0.1,g=0.1</t>
  </si>
  <si>
    <t>Dolan et al. 2004 (10.1016/j.chroma.2004.09.020)</t>
  </si>
  <si>
    <t>Quaternary amines always contribute (permanent charge)</t>
  </si>
  <si>
    <t>sqrt[(12.5*ΔH)^2 + (100*ΔS)^2 + (30*ΔA)^2 + (143*ΔB)^2 + (83*ΔC)^2]</t>
  </si>
  <si>
    <t>Weights: H=12.5, S=100, A=30, B=143, C=83</t>
  </si>
  <si>
    <t>Fs≤3: equivalent; 3-5: similar; &gt;5: different</t>
  </si>
  <si>
    <t>BUFFER PROPERTY DATABASE  (pKa values from Goldberg et al., 2002; DOI: 10.1063/1.1416902)</t>
  </si>
  <si>
    <t>Buffer Name</t>
  </si>
  <si>
    <t>pKa (25°C)</t>
  </si>
  <si>
    <t>dpKa/dT (/°C)</t>
  </si>
  <si>
    <t>UV Cutoff 10mM (nm)</t>
  </si>
  <si>
    <t>UV Cutoff 50mM (nm)</t>
  </si>
  <si>
    <t>Solubility ACN (%)</t>
  </si>
  <si>
    <t>Solubility MeOH (%)</t>
  </si>
  <si>
    <t>MS Compatible</t>
  </si>
  <si>
    <t>Max MS Conc (mM)</t>
  </si>
  <si>
    <t>Metal Chelation Fe (log K)</t>
  </si>
  <si>
    <t>Storage (days)</t>
  </si>
  <si>
    <t>pH Drift/day</t>
  </si>
  <si>
    <t>Volatility</t>
  </si>
  <si>
    <t>Phosphate (pKa1)</t>
  </si>
  <si>
    <t>Non-volatile</t>
  </si>
  <si>
    <t>Goldberg 2002 DOI:10.1063/1.1416902</t>
  </si>
  <si>
    <t>Phosphate (pKa2)</t>
  </si>
  <si>
    <t>Phosphate (pKa3)</t>
  </si>
  <si>
    <t>Acetate</t>
  </si>
  <si>
    <t>No*</t>
  </si>
  <si>
    <t>Low volatility</t>
  </si>
  <si>
    <t>Goldberg 2002 DOI:10.1063/1.1416902 (*ammonium acetate is volatile)</t>
  </si>
  <si>
    <t>Ammonium Acetate (acetate pKa)</t>
  </si>
  <si>
    <t>Highly volatile</t>
  </si>
  <si>
    <t>Kebarle 1993 DOI:10.1021/ac00070a001; ammonium pKa=9.25</t>
  </si>
  <si>
    <t>Ammonium Formate (formate pKa)</t>
  </si>
  <si>
    <t>Citrate (pKa1)</t>
  </si>
  <si>
    <t>Goldberg 2002 DOI:10.1063/1.1416902; strong Fe chelator</t>
  </si>
  <si>
    <t>Citrate (pKa2)</t>
  </si>
  <si>
    <t>Citrate (pKa3)</t>
  </si>
  <si>
    <t>TRIS</t>
  </si>
  <si>
    <t>Yes*</t>
  </si>
  <si>
    <t>Moderate</t>
  </si>
  <si>
    <t>Beynon 1996 DOI:10.4324/9780203986554 (*limited MS use; reacts with carbonyls)</t>
  </si>
  <si>
    <t>MES</t>
  </si>
  <si>
    <t>HEPES</t>
  </si>
  <si>
    <t>Borate</t>
  </si>
  <si>
    <t>Martell 2004 DOI:10.1007/978-1-4615-6761-5; complexes vicinal diols</t>
  </si>
  <si>
    <t>Bicarbonate</t>
  </si>
  <si>
    <t>Goldberg 2002 DOI:10.1063/1.1416902; unstable—prepare fresh</t>
  </si>
  <si>
    <t>CAPS</t>
  </si>
  <si>
    <t>Formate</t>
  </si>
  <si>
    <t>ERROR LOG — Auto-populated by Python engine</t>
  </si>
  <si>
    <t>Error Type</t>
  </si>
  <si>
    <t>Message</t>
  </si>
  <si>
    <t>Action Taken</t>
  </si>
  <si>
    <t>VBA SOURCE CODE (reference copy — paste into Alt+F11 → Module1)</t>
  </si>
  <si>
    <t>' ============================================================</t>
  </si>
  <si>
    <t>' CHROMATOGRAPHY AI SYSTEM v3.0 — VBA Controller</t>
  </si>
  <si>
    <t>' Copy this code into the VBA editor (Alt+F11) → Module1</t>
  </si>
  <si>
    <t>Option Explicit</t>
  </si>
  <si>
    <t>Const PYTHON_EXE  As String = "python"</t>
  </si>
  <si>
    <t>Const SCRIPT_NAME As String = "main.py"</t>
  </si>
  <si>
    <t>' ── Main Report Button ──────────────────────────────────────</t>
  </si>
  <si>
    <t>Sub GenerateReport_Click()</t>
  </si>
  <si>
    <t xml:space="preserve">    Dim smiles As String</t>
  </si>
  <si>
    <t xml:space="preserve">    Dim cmpName As String, project As String, notes As String</t>
  </si>
  <si>
    <t xml:space="preserve">    Dim result As String, parts() As String</t>
  </si>
  <si>
    <t xml:space="preserve">    smiles  = Trim(ThisWorkbook.Sheets("DASHBOARD").Range("C5").Value)</t>
  </si>
  <si>
    <t xml:space="preserve">    cmpName = Trim(ThisWorkbook.Sheets("DASHBOARD").Range("C6").Value)</t>
  </si>
  <si>
    <t xml:space="preserve">    project = Trim(ThisWorkbook.Sheets("DASHBOARD").Range("C7").Value)</t>
  </si>
  <si>
    <t xml:space="preserve">    notes   = Trim(ThisWorkbook.Sheets("DASHBOARD").Range("C8").Value)</t>
  </si>
  <si>
    <t xml:space="preserve">    If Len(smiles) = 0 Then</t>
  </si>
  <si>
    <t xml:space="preserve">        MsgBox "Please enter a SMILES string in cell C5.", vbExclamation, "No Input"</t>
  </si>
  <si>
    <t xml:space="preserve">        Exit Sub</t>
  </si>
  <si>
    <t xml:space="preserve">    End If</t>
  </si>
  <si>
    <t xml:space="preserve">    UpdateStatus "Processing...", "Running Python engine..."</t>
  </si>
  <si>
    <t xml:space="preserve">    DoEvents</t>
  </si>
  <si>
    <t xml:space="preserve">    result = RunPython(smiles, cmpName, project, notes)</t>
  </si>
  <si>
    <t xml:space="preserve">    If Left(result, 2) = "OK" Then</t>
  </si>
  <si>
    <t xml:space="preserve">        parts = Split(result, "|")</t>
  </si>
  <si>
    <t xml:space="preserve">        UpdateHistory parts</t>
  </si>
  <si>
    <t xml:space="preserve">        UpdateStatus "Complete", "Report generated successfully"</t>
  </si>
  <si>
    <t xml:space="preserve">        If GetSetting("AutoOpenReports") = "Yes" Then</t>
  </si>
  <si>
    <t xml:space="preserve">            If UBound(parts) &gt;= 13 Then</t>
  </si>
  <si>
    <t xml:space="preserve">                If Len(parts(13)) &gt; 0 Then Workbooks.Open parts(13)</t>
  </si>
  <si>
    <t xml:space="preserve">            End If</t>
  </si>
  <si>
    <t xml:space="preserve">        End If</t>
  </si>
  <si>
    <t xml:space="preserve">        MsgBox "Report generated successfully!", vbInformation, "Success"</t>
  </si>
  <si>
    <t xml:space="preserve">    Else</t>
  </si>
  <si>
    <t xml:space="preserve">        UpdateStatus "Error", result</t>
  </si>
  <si>
    <t xml:space="preserve">        LogError smiles, result</t>
  </si>
  <si>
    <t xml:space="preserve">        MsgBox "Error: " &amp; result, vbCritical, "Generation Failed"</t>
  </si>
  <si>
    <t>End Sub</t>
  </si>
  <si>
    <t>' ── Validate SMILES ─────────────────────────────────────────</t>
  </si>
  <si>
    <t>Sub ValidateSMILES_Click()</t>
  </si>
  <si>
    <t xml:space="preserve">    Dim smiles As String, result As String</t>
  </si>
  <si>
    <t xml:space="preserve">    smiles = Trim(ThisWorkbook.Sheets("DASHBOARD").Range("C5").Value)</t>
  </si>
  <si>
    <t xml:space="preserve">        MsgBox "Enter a SMILES string first.", vbExclamation</t>
  </si>
  <si>
    <t xml:space="preserve">    result = RunPython(smiles, "", "", "", validate_only:=True)</t>
  </si>
  <si>
    <t xml:space="preserve">    If InStr(result, "VALID") &gt; 0 Then</t>
  </si>
  <si>
    <t xml:space="preserve">        ThisWorkbook.Sheets("DASHBOARD").Range("H6").Value = "Validation: Valid SMILES"</t>
  </si>
  <si>
    <t xml:space="preserve">        MsgBox "Valid SMILES string.", vbInformation, "Validation OK"</t>
  </si>
  <si>
    <t xml:space="preserve">        ThisWorkbook.Sheets("DASHBOARD").Range("H6").Value = "Validation: INVALID"</t>
  </si>
  <si>
    <t xml:space="preserve">        MsgBox "Invalid SMILES: " &amp; result, vbExclamation, "Validation Failed"</t>
  </si>
  <si>
    <t>' ── Clear All Inputs ────────────────────────────────────────</t>
  </si>
  <si>
    <t>Sub ClearAll_Click()</t>
  </si>
  <si>
    <t xml:space="preserve">    With ThisWorkbook.Sheets("DASHBOARD")</t>
  </si>
  <si>
    <t xml:space="preserve">        .Range("C5:C8").ClearContents</t>
  </si>
  <si>
    <t xml:space="preserve">        .Range("H5:H8").Value = "—"</t>
  </si>
  <si>
    <t xml:space="preserve">    End With</t>
  </si>
  <si>
    <t>' ── Run Python subprocess ────────────────────────────────────</t>
  </si>
  <si>
    <t>Function RunPython(smiles As String, cmpName As String, project As String, _</t>
  </si>
  <si>
    <t xml:space="preserve">                   notes As String, Optional validate_only As Boolean = False) As String</t>
  </si>
  <si>
    <t xml:space="preserve">    Dim wsh As Object, exec As Object</t>
  </si>
  <si>
    <t xml:space="preserve">    Dim cmd As String, tmpFile As String, timeout As Long</t>
  </si>
  <si>
    <t xml:space="preserve">    Dim startTime As Double</t>
  </si>
  <si>
    <t xml:space="preserve">    tmpFile = Environ("TEMP") &amp; "\smiles_" &amp; Format(Now, "yyyymmddhhnnss") &amp; ".txt"</t>
  </si>
  <si>
    <t xml:space="preserve">    Open tmpFile For Output As #1</t>
  </si>
  <si>
    <t xml:space="preserve">    Print #1, smiles</t>
  </si>
  <si>
    <t xml:space="preserve">    Close #1</t>
  </si>
  <si>
    <t xml:space="preserve">    cmd = PYTHON_EXE &amp; " """ &amp; ThisWorkbook.Path &amp; "" &amp; SCRIPT_NAME &amp; """"</t>
  </si>
  <si>
    <t xml:space="preserve">    cmd = cmd &amp; " --smiles-file """ &amp; tmpFile &amp; """"</t>
  </si>
  <si>
    <t xml:space="preserve">    If Len(cmpName) &gt; 0 Then cmd = cmd &amp; " --name """ &amp; cmpName &amp; """"</t>
  </si>
  <si>
    <t xml:space="preserve">    If Len(project)  &gt; 0 Then cmd = cmd &amp; " --project """ &amp; project &amp; """"</t>
  </si>
  <si>
    <t xml:space="preserve">    If validate_only Then</t>
  </si>
  <si>
    <t xml:space="preserve">        cmd = cmd &amp; " --validate-only"</t>
  </si>
  <si>
    <t xml:space="preserve">        cmd = cmd &amp; " --format both"</t>
  </si>
  <si>
    <t xml:space="preserve">    Set wsh  = CreateObject("WScript.Shell")</t>
  </si>
  <si>
    <t xml:space="preserve">    Set exec = wsh.Exec(cmd)</t>
  </si>
  <si>
    <t xml:space="preserve">    timeout   = CLng(GetSetting("Timeout"))</t>
  </si>
  <si>
    <t xml:space="preserve">    startTime = Timer</t>
  </si>
  <si>
    <t xml:space="preserve">    Do While exec.Status = 0</t>
  </si>
  <si>
    <t xml:space="preserve">        DoEvents</t>
  </si>
  <si>
    <t xml:space="preserve">        If Timer - startTime &gt; timeout Then</t>
  </si>
  <si>
    <t xml:space="preserve">            exec.Terminate</t>
  </si>
  <si>
    <t xml:space="preserve">            RunPython = "ERROR: Timeout after " &amp; timeout &amp; " seconds"</t>
  </si>
  <si>
    <t xml:space="preserve">            GoTo Cleanup</t>
  </si>
  <si>
    <t xml:space="preserve">    Loop</t>
  </si>
  <si>
    <t xml:space="preserve">    RunPython = exec.StdOut.ReadAll()</t>
  </si>
  <si>
    <t>Cleanup:</t>
  </si>
  <si>
    <t xml:space="preserve">    On Error Resume Next</t>
  </si>
  <si>
    <t xml:space="preserve">    Kill tmpFile</t>
  </si>
  <si>
    <t xml:space="preserve">    On Error GoTo 0</t>
  </si>
  <si>
    <t>End Function</t>
  </si>
  <si>
    <t>' ── Update search history ────────────────────────────────────</t>
  </si>
  <si>
    <t>Sub UpdateHistory(parts() As String)</t>
  </si>
  <si>
    <t xml:space="preserve">    Dim ws As Worksheet, nr As Long</t>
  </si>
  <si>
    <t xml:space="preserve">    Set ws = ThisWorkbook.Sheets("SEARCH HISTORY")</t>
  </si>
  <si>
    <t xml:space="preserve">    nr = ws.Cells(ws.Rows.Count, 1).End(xlUp).Row + 1</t>
  </si>
  <si>
    <t xml:space="preserve">    If nr &lt; 3 Then nr = 3</t>
  </si>
  <si>
    <t xml:space="preserve">    ws.Cells(nr, 1).Value  = Now()</t>
  </si>
  <si>
    <t xml:space="preserve">    ws.Cells(nr, 1).NumberFormat = "DD-MMM-YYYY HH:MM:SS"</t>
  </si>
  <si>
    <t xml:space="preserve">    ws.Cells(nr, 2).Value  = SafePart(parts, 1)</t>
  </si>
  <si>
    <t xml:space="preserve">    ws.Cells(nr, 3).Value  = SafePart(parts, 2)</t>
  </si>
  <si>
    <t xml:space="preserve">    ws.Cells(nr, 4).Value  = SafePart(parts, 3)</t>
  </si>
  <si>
    <t xml:space="preserve">    ws.Cells(nr, 5).Value  = SafePart(parts, 4)</t>
  </si>
  <si>
    <t xml:space="preserve">    ws.Cells(nr, 6).Value  = "Success"</t>
  </si>
  <si>
    <t xml:space="preserve">    ws.Cells(nr, 7).Value  = CDblSafe(SafePart(parts, 5))</t>
  </si>
  <si>
    <t xml:space="preserve">    ws.Cells(nr, 8).Value  = CDblSafe(SafePart(parts, 6))</t>
  </si>
  <si>
    <t xml:space="preserve">    ws.Cells(nr, 9).Value  = CDblSafe(SafePart(parts, 7))</t>
  </si>
  <si>
    <t xml:space="preserve">    ws.Cells(nr, 10).Value = CDblSafe(SafePart(parts, 8))</t>
  </si>
  <si>
    <t xml:space="preserve">    ws.Cells(nr, 11).Value = CDblSafe(SafePart(parts, 9))</t>
  </si>
  <si>
    <t xml:space="preserve">    ws.Cells(nr, 12).Value = CDblSafe(SafePart(parts, 10))</t>
  </si>
  <si>
    <t xml:space="preserve">    ws.Cells(nr, 13).Value = CDblSafe(SafePart(parts, 11))</t>
  </si>
  <si>
    <t xml:space="preserve">    Dim excelPath As String, pdfPath As String</t>
  </si>
  <si>
    <t xml:space="preserve">    excelPath = SafePart(parts, 12)</t>
  </si>
  <si>
    <t xml:space="preserve">    pdfPath   = SafePart(parts, 13)</t>
  </si>
  <si>
    <t xml:space="preserve">    If Len(excelPath) &gt; 0 Then</t>
  </si>
  <si>
    <t xml:space="preserve">        ws.Hyperlinks.Add Anchor:=ws.Cells(nr, 14), Address:=excelPath, TextToDisplay:="Open Excel"</t>
  </si>
  <si>
    <t xml:space="preserve">    If Len(pdfPath) &gt; 0 Then</t>
  </si>
  <si>
    <t xml:space="preserve">        ws.Hyperlinks.Add Anchor:=ws.Cells(nr, 15), Address:=pdfPath, TextToDisplay:="Open PDF"</t>
  </si>
  <si>
    <t>' ── Helpers ─────────────────────────────────────────────────</t>
  </si>
  <si>
    <t>Sub UpdateStatus(status As String, detail As String)</t>
  </si>
  <si>
    <t xml:space="preserve">        .Range("H5").Value = "Status: " &amp; status</t>
  </si>
  <si>
    <t xml:space="preserve">        .Range("H6").Value = detail</t>
  </si>
  <si>
    <t xml:space="preserve">        .Range("H7").Value = "Last Run: " &amp; Format(Now, "DD-MMM-YYYY HH:MM:SS")</t>
  </si>
  <si>
    <t>Function GetSetting(key As String) As String</t>
  </si>
  <si>
    <t xml:space="preserve">    Dim ws As Worksheet, r As Long</t>
  </si>
  <si>
    <t xml:space="preserve">    Set ws = ThisWorkbook.Sheets("SETTINGS")</t>
  </si>
  <si>
    <t xml:space="preserve">    For r = 1 To 200</t>
  </si>
  <si>
    <t xml:space="preserve">        If ws.Cells(r, 2).Value = key Then</t>
  </si>
  <si>
    <t xml:space="preserve">            GetSetting = CStr(ws.Cells(r, 3).Value)</t>
  </si>
  <si>
    <t xml:space="preserve">            Exit Function</t>
  </si>
  <si>
    <t xml:space="preserve">    Next r</t>
  </si>
  <si>
    <t xml:space="preserve">    GetSetting = ""</t>
  </si>
  <si>
    <t>Sub LogError(smiles As String, msg As String)</t>
  </si>
  <si>
    <t xml:space="preserve">    Set ws = ThisWorkbook.Sheets("ERROR_LOG")</t>
  </si>
  <si>
    <t xml:space="preserve">    ws.Cells(nr, 1).Value = Now()</t>
  </si>
  <si>
    <t xml:space="preserve">    ws.Cells(nr, 2).Value = smiles</t>
  </si>
  <si>
    <t xml:space="preserve">    ws.Cells(nr, 3).Value = "Runtime Error"</t>
  </si>
  <si>
    <t xml:space="preserve">    ws.Cells(nr, 4).Value = msg</t>
  </si>
  <si>
    <t xml:space="preserve">    ws.Cells(nr, 5).Value = "main.py"</t>
  </si>
  <si>
    <t xml:space="preserve">    ws.Cells(nr, 6).Value = "Logged"</t>
  </si>
  <si>
    <t>Function SafePart(parts() As String, idx As Integer) As String</t>
  </si>
  <si>
    <t xml:space="preserve">    SafePart = parts(idx)</t>
  </si>
  <si>
    <t xml:space="preserve">    If Err.Number &lt;&gt; 0 Then SafePart = ""</t>
  </si>
  <si>
    <t>Function CDblSafe(s As String) As Double</t>
  </si>
  <si>
    <t xml:space="preserve">    CDblSafe = CDbl(s)</t>
  </si>
  <si>
    <t xml:space="preserve">    If Err.Number &lt;&gt; 0 Then CDblSafe = 0</t>
  </si>
  <si>
    <t>Runtime Error</t>
  </si>
  <si>
    <t>main.py</t>
  </si>
  <si>
    <t>Logged</t>
  </si>
  <si>
    <t xml:space="preserve">ERROR: C:\Users\Subhr\AppData\Local\Programs\Python\Python313\python.exe: can't find '__main__' module in 'C:\\Users\\Subhr\\OneDrive\\Pictures\\\u30c9\u30ad\u30e5\u30e1\u30f3\u30c8'_x000D_
</t>
  </si>
  <si>
    <t>ERROR: Python script not found: C:\Users\Subhr\Downloads\chromatography_ai\main.py</t>
  </si>
  <si>
    <t xml:space="preserve">ERROR: usage: main.py [-h] [--excel EXCEL] [--smiles SMILES] [--project PROJECT]_x000D_
               [--smiles-file SMILES_FILE] [--batch] [--output OUTPUT]_x000D_
               [--validate-only] [--format {excel,pdf,both}] [--verbose]_x000D_
main.py: error: argument --format/-f: invalid choice: 'Both' (choose from 'excel', 'pdf', 'both')_x000D_
</t>
  </si>
  <si>
    <t>Running Python engine...</t>
  </si>
  <si>
    <t>Status: Error</t>
  </si>
  <si>
    <t>Last Run: 26-May-2026 00:29:41</t>
  </si>
  <si>
    <t>RPT-20260526003815-b3d6b3</t>
  </si>
  <si>
    <t>Open Excel</t>
  </si>
  <si>
    <t>Open PDF</t>
  </si>
  <si>
    <t>Status: Complete</t>
  </si>
  <si>
    <t>RPT-20260526004149-6c2d80</t>
  </si>
  <si>
    <t>RPT-20260526120034-db4dd8</t>
  </si>
  <si>
    <t>RPT-20260526123120-847d81</t>
  </si>
  <si>
    <t>RPT-20260526123613-bb0b5a</t>
  </si>
  <si>
    <t>Last Run: 26-May-2026 12:36:15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</si>
</sst>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\ hh:mm:ss"/>
    <numFmt numFmtId="165" formatCode="0.0"/>
  </numFmts>
  <fonts count="23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i/>
      <sz val="10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0000"/>
      <name val="Calibri"/>
    </font>
    <font>
      <b/>
      <sz val="10"/>
      <color rgb="FFFFFFFF"/>
      <name val="Calibri"/>
    </font>
    <font>
      <i/>
      <sz val="10"/>
      <color rgb="FF000000"/>
      <name val="Calibri"/>
    </font>
    <font>
      <i/>
      <sz val="9"/>
      <color rgb="FF595959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0"/>
      <color rgb="FF2E75B6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sz val="9"/>
      <color rgb="FF000000"/>
      <name val="Calibri"/>
    </font>
    <font>
      <b/>
      <sz val="9"/>
      <color rgb="FF2E75B6"/>
      <name val="Calibri"/>
    </font>
    <font>
      <u/>
      <sz val="9"/>
      <color rgb="FF2E75B6"/>
      <name val="Calibri"/>
    </font>
    <font>
      <b/>
      <sz val="9"/>
      <color rgb="FF000000"/>
      <name val="Calibri"/>
    </font>
    <font>
      <b/>
      <sz val="9"/>
      <color rgb="FFFFFFFF"/>
      <name val="Calibri"/>
    </font>
    <font>
      <sz val="9"/>
      <name val="Courier New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375623"/>
      </patternFill>
    </fill>
    <fill>
      <patternFill patternType="solid">
        <fgColor rgb="FF595959"/>
      </patternFill>
    </fill>
    <fill>
      <patternFill patternType="solid">
        <fgColor rgb="FFC65911"/>
      </patternFill>
    </fill>
    <fill>
      <patternFill patternType="solid">
        <fgColor rgb="FFF2F2F2"/>
      </patternFill>
    </fill>
    <fill>
      <patternFill patternType="solid">
        <fgColor rgb="FFBDD7EE"/>
      </patternFill>
    </fill>
    <fill>
      <patternFill patternType="solid">
        <fgColor rgb="FFFFF2CC"/>
      </patternFill>
    </fill>
    <fill>
      <patternFill patternType="solid">
        <fgColor rgb="FFC00000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61">
    <xf numFmtId="0" fontId="0" fillId="0" borderId="0" xfId="0"/>
    <xf numFmtId="0" fontId="4" fillId="4" borderId="0" xfId="0" applyFont="1" applyFill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center" vertical="center" wrapText="1"/>
    </xf>
    <xf numFmtId="164" fontId="5" fillId="0" borderId="2" xfId="0" applyNumberFormat="1" applyFont="1" applyBorder="1"/>
    <xf numFmtId="0" fontId="5" fillId="0" borderId="2" xfId="0" applyFont="1" applyBorder="1"/>
    <xf numFmtId="2" fontId="5" fillId="0" borderId="2" xfId="0" applyNumberFormat="1" applyFont="1" applyBorder="1"/>
    <xf numFmtId="165" fontId="5" fillId="0" borderId="2" xfId="0" applyNumberFormat="1" applyFont="1" applyBorder="1"/>
    <xf numFmtId="0" fontId="4" fillId="10" borderId="1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/>
    </xf>
    <xf numFmtId="0" fontId="15" fillId="9" borderId="2" xfId="0" applyFont="1" applyFill="1" applyBorder="1" applyAlignment="1">
      <alignment horizontal="left" vertical="center"/>
    </xf>
    <xf numFmtId="0" fontId="14" fillId="9" borderId="2" xfId="0" applyFont="1" applyFill="1" applyBorder="1" applyAlignment="1">
      <alignment horizontal="left" vertical="center"/>
    </xf>
    <xf numFmtId="0" fontId="14" fillId="9" borderId="2" xfId="0" applyFont="1" applyFill="1" applyBorder="1" applyAlignment="1">
      <alignment horizontal="left" vertical="center" wrapText="1"/>
    </xf>
    <xf numFmtId="0" fontId="16" fillId="9" borderId="2" xfId="0" applyFont="1" applyFill="1" applyBorder="1" applyAlignment="1">
      <alignment horizontal="left" vertical="center"/>
    </xf>
    <xf numFmtId="0" fontId="15" fillId="5" borderId="2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 wrapText="1"/>
    </xf>
    <xf numFmtId="0" fontId="16" fillId="5" borderId="2" xfId="0" applyFont="1" applyFill="1" applyBorder="1" applyAlignment="1">
      <alignment horizontal="left" vertical="center"/>
    </xf>
    <xf numFmtId="0" fontId="17" fillId="9" borderId="1" xfId="0" applyFont="1" applyFill="1" applyBorder="1" applyAlignment="1">
      <alignment horizontal="left" vertical="center" wrapText="1"/>
    </xf>
    <xf numFmtId="0" fontId="14" fillId="9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14" fillId="5" borderId="1" xfId="0" applyFont="1" applyFill="1" applyBorder="1" applyAlignment="1">
      <alignment horizontal="left" vertical="center" wrapText="1"/>
    </xf>
    <xf numFmtId="0" fontId="10" fillId="2" borderId="0" xfId="0" applyFont="1" applyFill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2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21" fillId="5" borderId="1" xfId="0" applyFont="1" applyFill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22" fillId="0" borderId="0" xfId="1"/>
  </cellXfs>
  <cellStyles count="2">
    <cellStyle name="Hyperlink" xfId="1" builtinId="8"/>
    <cellStyle name="Normal" xfId="0" builtinId="0"/>
  </cellStyles>
  <dxfs count="3">
    <dxf>
      <font>
        <b/>
        <color rgb="FFC00000"/>
      </font>
      <fill>
        <patternFill patternType="solid">
          <fgColor rgb="FFFFE0E0"/>
        </patternFill>
      </fill>
    </dxf>
    <dxf>
      <font>
        <b/>
        <color rgb="FFC65911"/>
      </font>
      <fill>
        <patternFill patternType="solid">
          <fgColor rgb="FFFFF2CC"/>
        </patternFill>
      </fill>
    </dxf>
    <dxf>
      <font>
        <b/>
        <color rgb="FF375623"/>
      </font>
      <fill>
        <patternFill patternType="solid">
          <fgColor rgb="FFE2EFD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</xdr:row>
          <xdr:rowOff>7620</xdr:rowOff>
        </xdr:from>
        <xdr:to>
          <xdr:col>5</xdr:col>
          <xdr:colOff>0</xdr:colOff>
          <xdr:row>5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ython/output/reports/report__20260526_123120.pdf" TargetMode="External"/><Relationship Id="rId3" Type="http://schemas.openxmlformats.org/officeDocument/2006/relationships/hyperlink" Target="python/output/reports/report__20260526_004149.json" TargetMode="External"/><Relationship Id="rId7" Type="http://schemas.openxmlformats.org/officeDocument/2006/relationships/hyperlink" Target="python/output/reports/report__20260526_123120.json" TargetMode="External"/><Relationship Id="rId2" Type="http://schemas.openxmlformats.org/officeDocument/2006/relationships/hyperlink" Target="python/output/reports/report__20260526_003815.pdf" TargetMode="External"/><Relationship Id="rId1" Type="http://schemas.openxmlformats.org/officeDocument/2006/relationships/hyperlink" Target="python/output/reports/report__20260526_003815.json" TargetMode="External"/><Relationship Id="rId6" Type="http://schemas.openxmlformats.org/officeDocument/2006/relationships/hyperlink" Target="python/output/reports/report__20260526_120035.pdf" TargetMode="External"/><Relationship Id="rId5" Type="http://schemas.openxmlformats.org/officeDocument/2006/relationships/hyperlink" Target="python/output/reports/report__20260526_120035.json" TargetMode="External"/><Relationship Id="rId10" Type="http://schemas.openxmlformats.org/officeDocument/2006/relationships/hyperlink" Target="python/output/reports/report__20260526_123614.pdf" TargetMode="External"/><Relationship Id="rId4" Type="http://schemas.openxmlformats.org/officeDocument/2006/relationships/hyperlink" Target="python/output/reports/report__20260526_004149.pdf" TargetMode="External"/><Relationship Id="rId9" Type="http://schemas.openxmlformats.org/officeDocument/2006/relationships/hyperlink" Target="python/output/reports/report__20260526_123614.xlsx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doi.org/10.1002/0471461203" TargetMode="External"/><Relationship Id="rId13" Type="http://schemas.openxmlformats.org/officeDocument/2006/relationships/hyperlink" Target="https://doi.org/10.1016/j.chroma.2004.09.020" TargetMode="External"/><Relationship Id="rId18" Type="http://schemas.openxmlformats.org/officeDocument/2006/relationships/hyperlink" Target="https://doi.org/10.1007/978-94-009-5874-6" TargetMode="External"/><Relationship Id="rId26" Type="http://schemas.openxmlformats.org/officeDocument/2006/relationships/hyperlink" Target="https://doi.org/10.1016/S0021-9673(00)85627-7" TargetMode="External"/><Relationship Id="rId3" Type="http://schemas.openxmlformats.org/officeDocument/2006/relationships/hyperlink" Target="https://doi.org/10.1021/jm000942e" TargetMode="External"/><Relationship Id="rId21" Type="http://schemas.openxmlformats.org/officeDocument/2006/relationships/hyperlink" Target="https://doi.org/10.1021/bi0028892" TargetMode="External"/><Relationship Id="rId7" Type="http://schemas.openxmlformats.org/officeDocument/2006/relationships/hyperlink" Target="https://doi.org/10.1038/nchem.1243" TargetMode="External"/><Relationship Id="rId12" Type="http://schemas.openxmlformats.org/officeDocument/2006/relationships/hyperlink" Target="https://doi.org/10.1016/j.chroma.2004.08.121" TargetMode="External"/><Relationship Id="rId17" Type="http://schemas.openxmlformats.org/officeDocument/2006/relationships/hyperlink" Target="https://doi.org/10.1063/1.1416902" TargetMode="External"/><Relationship Id="rId25" Type="http://schemas.openxmlformats.org/officeDocument/2006/relationships/hyperlink" Target="https://doi.org/10.1016/j.chroma.2006.06.074" TargetMode="External"/><Relationship Id="rId2" Type="http://schemas.openxmlformats.org/officeDocument/2006/relationships/hyperlink" Target="https://doi.org/10.1016/S0169-409X(96)00423-1" TargetMode="External"/><Relationship Id="rId16" Type="http://schemas.openxmlformats.org/officeDocument/2006/relationships/hyperlink" Target="https://doi.org/10.1039/CS9932200073" TargetMode="External"/><Relationship Id="rId20" Type="http://schemas.openxmlformats.org/officeDocument/2006/relationships/hyperlink" Target="https://doi.org/10.4324/9780203986554" TargetMode="External"/><Relationship Id="rId29" Type="http://schemas.openxmlformats.org/officeDocument/2006/relationships/hyperlink" Target="https://doi.org/10.1002/9783527614974" TargetMode="External"/><Relationship Id="rId1" Type="http://schemas.openxmlformats.org/officeDocument/2006/relationships/hyperlink" Target="https://doi.org/10.1021/ci990307l" TargetMode="External"/><Relationship Id="rId6" Type="http://schemas.openxmlformats.org/officeDocument/2006/relationships/hyperlink" Target="https://doi.org/10.1021/cc9800071" TargetMode="External"/><Relationship Id="rId11" Type="http://schemas.openxmlformats.org/officeDocument/2006/relationships/hyperlink" Target="https://doi.org/10.1016/j.chroma.2004.01.007" TargetMode="External"/><Relationship Id="rId24" Type="http://schemas.openxmlformats.org/officeDocument/2006/relationships/hyperlink" Target="https://doi.org/10.1002/9780470508183" TargetMode="External"/><Relationship Id="rId5" Type="http://schemas.openxmlformats.org/officeDocument/2006/relationships/hyperlink" Target="https://doi.org/10.1021/jm020017n" TargetMode="External"/><Relationship Id="rId15" Type="http://schemas.openxmlformats.org/officeDocument/2006/relationships/hyperlink" Target="https://doi.org/10.1016/j.chroma.2004.11.014" TargetMode="External"/><Relationship Id="rId23" Type="http://schemas.openxmlformats.org/officeDocument/2006/relationships/hyperlink" Target="https://doi.org/10.1016/S0021-9673(99)00176-4" TargetMode="External"/><Relationship Id="rId28" Type="http://schemas.openxmlformats.org/officeDocument/2006/relationships/hyperlink" Target="https://doi.org/10.1021/ac961170s" TargetMode="External"/><Relationship Id="rId10" Type="http://schemas.openxmlformats.org/officeDocument/2006/relationships/hyperlink" Target="https://doi.org/10.1016/0223-5234(76)90069-7" TargetMode="External"/><Relationship Id="rId19" Type="http://schemas.openxmlformats.org/officeDocument/2006/relationships/hyperlink" Target="https://doi.org/10.1021/ac00070a001" TargetMode="External"/><Relationship Id="rId31" Type="http://schemas.openxmlformats.org/officeDocument/2006/relationships/hyperlink" Target="https://doi.org/10.1039/P29900000521" TargetMode="External"/><Relationship Id="rId4" Type="http://schemas.openxmlformats.org/officeDocument/2006/relationships/hyperlink" Target="https://doi.org/10.1021/ci034243x" TargetMode="External"/><Relationship Id="rId9" Type="http://schemas.openxmlformats.org/officeDocument/2006/relationships/hyperlink" Target="https://doi.org/10.1016/S1093-3263(00)00068-1" TargetMode="External"/><Relationship Id="rId14" Type="http://schemas.openxmlformats.org/officeDocument/2006/relationships/hyperlink" Target="https://doi.org/10.1016/j.chroma.2007.11.101" TargetMode="External"/><Relationship Id="rId22" Type="http://schemas.openxmlformats.org/officeDocument/2006/relationships/hyperlink" Target="https://doi.org/10.1007/978-1-4615-6761-5" TargetMode="External"/><Relationship Id="rId27" Type="http://schemas.openxmlformats.org/officeDocument/2006/relationships/hyperlink" Target="https://doi.org/10.1016/0026-265X(93)90003-6" TargetMode="External"/><Relationship Id="rId30" Type="http://schemas.openxmlformats.org/officeDocument/2006/relationships/hyperlink" Target="https://doi.org/10.1021/jo00165a0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31"/>
  <sheetViews>
    <sheetView showGridLines="0" tabSelected="1" workbookViewId="0">
      <selection activeCell="F6" sqref="F6"/>
    </sheetView>
  </sheetViews>
  <sheetFormatPr defaultRowHeight="14.4" x14ac:dyDescent="0.3"/>
  <cols>
    <col min="1" max="1" width="3" customWidth="1"/>
    <col min="2" max="2" width="22" customWidth="1"/>
    <col min="3" max="3" width="28" customWidth="1"/>
    <col min="4" max="7" width="18" customWidth="1"/>
    <col min="8" max="8" width="22" customWidth="1"/>
    <col min="9" max="9" width="3" customWidth="1"/>
  </cols>
  <sheetData>
    <row r="1" spans="2:10" ht="36" customHeight="1" x14ac:dyDescent="0.3">
      <c r="B1" s="42" t="s">
        <v>0</v>
      </c>
      <c r="C1" s="43"/>
      <c r="D1" s="43"/>
      <c r="E1" s="43"/>
      <c r="F1" s="43"/>
      <c r="G1" s="43"/>
      <c r="H1" s="43"/>
    </row>
    <row r="2" spans="2:10" ht="18" customHeight="1" x14ac:dyDescent="0.3">
      <c r="B2" s="47" t="s">
        <v>1</v>
      </c>
      <c r="C2" s="43"/>
      <c r="D2" s="43"/>
      <c r="E2" s="43"/>
      <c r="F2" s="43"/>
      <c r="G2" s="43"/>
      <c r="H2" s="43"/>
    </row>
    <row r="3" spans="2:10" ht="19.95" customHeight="1" x14ac:dyDescent="0.3"/>
    <row r="4" spans="2:10" ht="19.95" customHeight="1" x14ac:dyDescent="0.3">
      <c r="B4" s="44" t="s">
        <v>2</v>
      </c>
      <c r="C4" s="43"/>
      <c r="D4" s="43"/>
      <c r="E4" s="44" t="s">
        <v>3</v>
      </c>
      <c r="F4" s="43"/>
      <c r="G4" s="43"/>
      <c r="H4" s="43"/>
    </row>
    <row r="5" spans="2:10" ht="19.95" customHeight="1" x14ac:dyDescent="0.3">
      <c r="B5" s="1" t="s">
        <v>4</v>
      </c>
      <c r="C5" s="49" t="s">
        <v>5</v>
      </c>
      <c r="D5" s="43"/>
      <c r="E5" s="3" t="s">
        <v>6</v>
      </c>
      <c r="F5" s="4" t="s">
        <v>730</v>
      </c>
      <c r="G5" s="46" t="s">
        <v>725</v>
      </c>
      <c r="H5" s="43"/>
      <c r="I5" t="s">
        <v>725</v>
      </c>
      <c r="J5" t="s">
        <v>725</v>
      </c>
    </row>
    <row r="6" spans="2:10" ht="19.95" customHeight="1" x14ac:dyDescent="0.3">
      <c r="B6" s="1" t="s">
        <v>7</v>
      </c>
      <c r="C6" s="48"/>
      <c r="D6" s="43"/>
      <c r="E6" s="4" t="s">
        <v>8</v>
      </c>
      <c r="F6" s="5" t="s">
        <v>9</v>
      </c>
      <c r="G6" s="46" t="s">
        <v>724</v>
      </c>
      <c r="H6" s="43"/>
    </row>
    <row r="7" spans="2:10" ht="19.95" customHeight="1" x14ac:dyDescent="0.3">
      <c r="B7" s="1" t="s">
        <v>10</v>
      </c>
      <c r="C7" s="48"/>
      <c r="D7" s="43"/>
      <c r="E7" s="6" t="s">
        <v>11</v>
      </c>
      <c r="F7" s="4" t="s">
        <v>735</v>
      </c>
      <c r="G7" s="46" t="s">
        <v>726</v>
      </c>
      <c r="H7" s="43"/>
      <c r="I7" t="s">
        <v>726</v>
      </c>
      <c r="J7" t="s">
        <v>726</v>
      </c>
    </row>
    <row r="8" spans="2:10" ht="19.95" customHeight="1" x14ac:dyDescent="0.3">
      <c r="B8" s="1" t="s">
        <v>12</v>
      </c>
      <c r="C8" s="48"/>
      <c r="D8" s="43"/>
      <c r="E8" s="7" t="s">
        <v>13</v>
      </c>
      <c r="F8" s="7" t="s">
        <v>14</v>
      </c>
      <c r="G8" s="46" t="s">
        <v>15</v>
      </c>
      <c r="H8" s="43"/>
    </row>
    <row r="9" spans="2:10" ht="19.95" customHeight="1" x14ac:dyDescent="0.3"/>
    <row r="10" spans="2:10" ht="19.95" customHeight="1" x14ac:dyDescent="0.3">
      <c r="B10" s="44" t="s">
        <v>16</v>
      </c>
      <c r="C10" s="43"/>
      <c r="D10" s="43"/>
      <c r="E10" s="44" t="s">
        <v>17</v>
      </c>
      <c r="F10" s="43"/>
      <c r="G10" s="43"/>
      <c r="H10" s="43"/>
    </row>
    <row r="11" spans="2:10" ht="19.95" customHeight="1" x14ac:dyDescent="0.3">
      <c r="B11" s="8" t="s">
        <v>18</v>
      </c>
      <c r="C11" s="2" t="str">
        <f>IF(C5="","—","Run engine")</f>
        <v>Run engine</v>
      </c>
      <c r="D11" s="9"/>
      <c r="E11" s="45" t="s">
        <v>19</v>
      </c>
      <c r="F11" s="43"/>
      <c r="G11" s="45" t="s">
        <v>20</v>
      </c>
      <c r="H11" s="43"/>
    </row>
    <row r="12" spans="2:10" ht="19.95" customHeight="1" x14ac:dyDescent="0.3">
      <c r="B12" s="8" t="s">
        <v>21</v>
      </c>
      <c r="C12" s="2" t="s">
        <v>22</v>
      </c>
      <c r="D12" s="9"/>
      <c r="E12" s="45" t="s">
        <v>23</v>
      </c>
      <c r="F12" s="43"/>
      <c r="G12" s="45" t="s">
        <v>24</v>
      </c>
      <c r="H12" s="43"/>
    </row>
    <row r="13" spans="2:10" ht="19.95" customHeight="1" x14ac:dyDescent="0.3">
      <c r="B13" s="8" t="s">
        <v>25</v>
      </c>
      <c r="C13" s="2" t="s">
        <v>22</v>
      </c>
      <c r="D13" s="9"/>
      <c r="E13" s="45" t="s">
        <v>26</v>
      </c>
      <c r="F13" s="43"/>
      <c r="G13" s="45" t="s">
        <v>27</v>
      </c>
      <c r="H13" s="43"/>
    </row>
    <row r="14" spans="2:10" ht="19.95" customHeight="1" x14ac:dyDescent="0.3">
      <c r="B14" s="8" t="s">
        <v>28</v>
      </c>
      <c r="C14" s="2" t="s">
        <v>22</v>
      </c>
      <c r="D14" s="9"/>
    </row>
    <row r="15" spans="2:10" ht="19.95" customHeight="1" x14ac:dyDescent="0.3">
      <c r="B15" s="8" t="s">
        <v>29</v>
      </c>
      <c r="C15" s="2" t="s">
        <v>22</v>
      </c>
      <c r="D15" s="9"/>
    </row>
    <row r="16" spans="2:10" ht="19.95" customHeight="1" x14ac:dyDescent="0.3">
      <c r="B16" s="8" t="s">
        <v>30</v>
      </c>
      <c r="C16" s="2" t="s">
        <v>22</v>
      </c>
      <c r="D16" s="9"/>
    </row>
    <row r="17" spans="2:8" ht="19.95" customHeight="1" x14ac:dyDescent="0.3">
      <c r="B17" s="8" t="s">
        <v>31</v>
      </c>
      <c r="C17" s="2" t="s">
        <v>22</v>
      </c>
      <c r="D17" s="9"/>
    </row>
    <row r="18" spans="2:8" ht="19.95" customHeight="1" x14ac:dyDescent="0.3">
      <c r="B18" s="8" t="s">
        <v>32</v>
      </c>
      <c r="C18" s="2" t="s">
        <v>22</v>
      </c>
      <c r="D18" s="9"/>
    </row>
    <row r="19" spans="2:8" ht="19.95" customHeight="1" x14ac:dyDescent="0.3"/>
    <row r="20" spans="2:8" ht="19.95" customHeight="1" x14ac:dyDescent="0.3">
      <c r="B20" s="50" t="s">
        <v>33</v>
      </c>
      <c r="C20" s="43"/>
      <c r="D20" s="43"/>
      <c r="E20" s="43"/>
      <c r="F20" s="43"/>
      <c r="G20" s="43"/>
      <c r="H20" s="43"/>
    </row>
    <row r="21" spans="2:8" ht="19.95" customHeight="1" x14ac:dyDescent="0.3"/>
    <row r="22" spans="2:8" ht="19.95" customHeight="1" x14ac:dyDescent="0.3"/>
    <row r="23" spans="2:8" ht="19.95" customHeight="1" x14ac:dyDescent="0.3"/>
    <row r="24" spans="2:8" ht="19.95" customHeight="1" x14ac:dyDescent="0.3"/>
    <row r="25" spans="2:8" ht="19.95" customHeight="1" x14ac:dyDescent="0.3"/>
    <row r="26" spans="2:8" ht="19.95" customHeight="1" x14ac:dyDescent="0.3"/>
    <row r="27" spans="2:8" ht="19.95" customHeight="1" x14ac:dyDescent="0.3"/>
    <row r="28" spans="2:8" ht="19.95" customHeight="1" x14ac:dyDescent="0.3"/>
    <row r="29" spans="2:8" ht="19.95" customHeight="1" x14ac:dyDescent="0.3"/>
    <row r="30" spans="2:8" ht="19.95" customHeight="1" x14ac:dyDescent="0.3"/>
    <row r="31" spans="2:8" ht="19.95" customHeight="1" x14ac:dyDescent="0.3"/>
  </sheetData>
  <mergeCells count="21">
    <mergeCell ref="B20:H20"/>
    <mergeCell ref="B10:D10"/>
    <mergeCell ref="G7:H7"/>
    <mergeCell ref="E13:F13"/>
    <mergeCell ref="G6:H6"/>
    <mergeCell ref="G13:H13"/>
    <mergeCell ref="E12:F12"/>
    <mergeCell ref="G12:H12"/>
    <mergeCell ref="C6:D6"/>
    <mergeCell ref="G11:H11"/>
    <mergeCell ref="G8:H8"/>
    <mergeCell ref="B1:H1"/>
    <mergeCell ref="E4:H4"/>
    <mergeCell ref="B4:D4"/>
    <mergeCell ref="E11:F11"/>
    <mergeCell ref="G5:H5"/>
    <mergeCell ref="B2:H2"/>
    <mergeCell ref="E10:H10"/>
    <mergeCell ref="C8:D8"/>
    <mergeCell ref="C7:D7"/>
    <mergeCell ref="C5:D5"/>
  </mergeCells>
  <hyperlinks>
    <hyperlink ref="E11" location="SEARCH HISTORY!A1" display="📋 SEARCH HISTORY" xr:uid="{00000000-0004-0000-0000-000000000000}"/>
    <hyperlink ref="G11" location="SETTINGS!A1" display="⚙️  SETTINGS" xr:uid="{00000000-0004-0000-0000-000001000000}"/>
    <hyperlink ref="E12" location="TEMPLATES!A1" display="📄 TEMPLATES" xr:uid="{00000000-0004-0000-0000-000002000000}"/>
    <hyperlink ref="G12" location="HELP!A1" display="❓ HELP" xr:uid="{00000000-0004-0000-0000-000003000000}"/>
    <hyperlink ref="E13" location="ABOUT!A1" display="ℹ️  ABOUT" xr:uid="{00000000-0004-0000-0000-000004000000}"/>
    <hyperlink ref="G13" location="REFERENCES_MASTER!A1" display="📚 REFERENCES" xr:uid="{00000000-0004-0000-0000-000005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GenerateReport_Click">
                <anchor moveWithCells="1" sizeWithCells="1">
                  <from>
                    <xdr:col>4</xdr:col>
                    <xdr:colOff>15240</xdr:colOff>
                    <xdr:row>4</xdr:row>
                    <xdr:rowOff>7620</xdr:rowOff>
                  </from>
                  <to>
                    <xdr:col>5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"/>
  <sheetViews>
    <sheetView workbookViewId="0">
      <pane ySplit="2" topLeftCell="A3" activePane="bottomLeft" state="frozen"/>
      <selection pane="bottomLeft" activeCell="I24" sqref="I24"/>
    </sheetView>
  </sheetViews>
  <sheetFormatPr defaultRowHeight="14.4" x14ac:dyDescent="0.3"/>
  <cols>
    <col min="1" max="1" width="20" customWidth="1"/>
    <col min="2" max="2" width="18" customWidth="1"/>
    <col min="3" max="3" width="38" customWidth="1"/>
    <col min="4" max="4" width="22" customWidth="1"/>
    <col min="5" max="5" width="18" customWidth="1"/>
    <col min="6" max="6" width="10" customWidth="1"/>
    <col min="7" max="7" width="11" customWidth="1"/>
    <col min="8" max="13" width="10" customWidth="1"/>
    <col min="14" max="15" width="14" customWidth="1"/>
  </cols>
  <sheetData>
    <row r="1" spans="1:15" ht="30" customHeight="1" x14ac:dyDescent="0.3">
      <c r="A1" s="51" t="s">
        <v>34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ht="30" customHeight="1" x14ac:dyDescent="0.3">
      <c r="A2" s="10" t="s">
        <v>35</v>
      </c>
      <c r="B2" s="10" t="s">
        <v>36</v>
      </c>
      <c r="C2" s="10" t="s">
        <v>37</v>
      </c>
      <c r="D2" s="10" t="s">
        <v>7</v>
      </c>
      <c r="E2" s="10" t="s">
        <v>38</v>
      </c>
      <c r="F2" s="10" t="s">
        <v>39</v>
      </c>
      <c r="G2" s="10" t="s">
        <v>40</v>
      </c>
      <c r="H2" s="10" t="s">
        <v>41</v>
      </c>
      <c r="I2" s="10" t="s">
        <v>42</v>
      </c>
      <c r="J2" s="10" t="s">
        <v>43</v>
      </c>
      <c r="K2" s="10" t="s">
        <v>44</v>
      </c>
      <c r="L2" s="10" t="s">
        <v>45</v>
      </c>
      <c r="M2" s="10" t="s">
        <v>46</v>
      </c>
      <c r="N2" s="10" t="s">
        <v>47</v>
      </c>
      <c r="O2" s="10" t="s">
        <v>48</v>
      </c>
    </row>
    <row r="3" spans="1:15" x14ac:dyDescent="0.3">
      <c r="A3" s="11">
        <v>46095.607893518521</v>
      </c>
      <c r="B3" s="12" t="s">
        <v>49</v>
      </c>
      <c r="C3" s="12" t="s">
        <v>5</v>
      </c>
      <c r="D3" s="12" t="s">
        <v>50</v>
      </c>
      <c r="E3" s="12" t="s">
        <v>51</v>
      </c>
      <c r="F3" s="12" t="s">
        <v>52</v>
      </c>
      <c r="G3" s="13">
        <v>0.87</v>
      </c>
      <c r="H3" s="13">
        <v>0.92</v>
      </c>
      <c r="I3" s="13">
        <v>0.85</v>
      </c>
      <c r="J3" s="13">
        <v>0.91</v>
      </c>
      <c r="K3" s="13">
        <v>0.88</v>
      </c>
      <c r="L3" s="13">
        <v>0.86</v>
      </c>
      <c r="M3" s="14">
        <v>23.4</v>
      </c>
      <c r="N3" s="12" t="s">
        <v>53</v>
      </c>
      <c r="O3" s="12" t="s">
        <v>54</v>
      </c>
    </row>
    <row r="4" spans="1:15" x14ac:dyDescent="0.3">
      <c r="A4" s="59">
        <v>46168.026574074072</v>
      </c>
      <c r="B4" t="s">
        <v>727</v>
      </c>
      <c r="C4" t="s">
        <v>5</v>
      </c>
      <c r="F4" t="s">
        <v>52</v>
      </c>
      <c r="G4">
        <v>0.31</v>
      </c>
      <c r="H4">
        <v>0.91</v>
      </c>
      <c r="I4">
        <v>0.56000000000000005</v>
      </c>
      <c r="J4">
        <v>0.01</v>
      </c>
      <c r="K4">
        <v>0</v>
      </c>
      <c r="L4">
        <v>7.0000000000000007E-2</v>
      </c>
      <c r="M4">
        <v>0.45</v>
      </c>
      <c r="N4" s="60" t="s">
        <v>728</v>
      </c>
      <c r="O4" s="60" t="s">
        <v>729</v>
      </c>
    </row>
    <row r="5" spans="1:15" x14ac:dyDescent="0.3">
      <c r="A5" s="59">
        <v>46168.029039351852</v>
      </c>
      <c r="B5" t="s">
        <v>731</v>
      </c>
      <c r="C5" t="s">
        <v>5</v>
      </c>
      <c r="F5" t="s">
        <v>52</v>
      </c>
      <c r="G5">
        <v>0.31</v>
      </c>
      <c r="H5">
        <v>0.91</v>
      </c>
      <c r="I5">
        <v>0.56000000000000005</v>
      </c>
      <c r="J5">
        <v>0.01</v>
      </c>
      <c r="K5">
        <v>0</v>
      </c>
      <c r="L5">
        <v>7.0000000000000007E-2</v>
      </c>
      <c r="M5">
        <v>0.13</v>
      </c>
      <c r="N5" s="60" t="s">
        <v>728</v>
      </c>
      <c r="O5" s="60" t="s">
        <v>729</v>
      </c>
    </row>
    <row r="6" spans="1:15" x14ac:dyDescent="0.3">
      <c r="A6" s="59">
        <v>46168.500405092593</v>
      </c>
      <c r="B6" t="s">
        <v>732</v>
      </c>
      <c r="C6" t="s">
        <v>5</v>
      </c>
      <c r="F6" t="s">
        <v>52</v>
      </c>
      <c r="G6">
        <v>0.31</v>
      </c>
      <c r="H6">
        <v>0.91</v>
      </c>
      <c r="I6">
        <v>0.56000000000000005</v>
      </c>
      <c r="J6">
        <v>0.01</v>
      </c>
      <c r="K6">
        <v>0</v>
      </c>
      <c r="L6">
        <v>7.0000000000000007E-2</v>
      </c>
      <c r="M6">
        <v>0.95</v>
      </c>
      <c r="N6" s="60" t="s">
        <v>728</v>
      </c>
      <c r="O6" s="60" t="s">
        <v>729</v>
      </c>
    </row>
    <row r="7" spans="1:15" x14ac:dyDescent="0.3">
      <c r="A7" s="59">
        <v>46168.52175925926</v>
      </c>
      <c r="B7" t="s">
        <v>733</v>
      </c>
      <c r="C7" t="s">
        <v>5</v>
      </c>
      <c r="F7" t="s">
        <v>52</v>
      </c>
      <c r="G7">
        <v>0.31</v>
      </c>
      <c r="H7">
        <v>0.91</v>
      </c>
      <c r="I7">
        <v>0.56000000000000005</v>
      </c>
      <c r="J7">
        <v>0.01</v>
      </c>
      <c r="K7">
        <v>0</v>
      </c>
      <c r="L7">
        <v>7.0000000000000007E-2</v>
      </c>
      <c r="M7">
        <v>0.23</v>
      </c>
      <c r="N7" s="60" t="s">
        <v>728</v>
      </c>
      <c r="O7" s="60" t="s">
        <v>729</v>
      </c>
    </row>
    <row r="8" spans="1:15" x14ac:dyDescent="0.3">
      <c r="A8" s="59">
        <v>46168.52516203704</v>
      </c>
      <c r="B8" t="s">
        <v>734</v>
      </c>
      <c r="C8" t="s">
        <v>5</v>
      </c>
      <c r="F8" t="s">
        <v>52</v>
      </c>
      <c r="G8">
        <v>0.31</v>
      </c>
      <c r="H8">
        <v>0.91</v>
      </c>
      <c r="I8">
        <v>0.56000000000000005</v>
      </c>
      <c r="J8">
        <v>0.01</v>
      </c>
      <c r="K8">
        <v>0</v>
      </c>
      <c r="L8">
        <v>7.0000000000000007E-2</v>
      </c>
      <c r="M8">
        <v>0.28000000000000003</v>
      </c>
      <c r="N8" s="60" t="s">
        <v>728</v>
      </c>
      <c r="O8" s="60" t="s">
        <v>729</v>
      </c>
    </row>
  </sheetData>
  <mergeCells count="1">
    <mergeCell ref="A1:O1"/>
  </mergeCells>
  <conditionalFormatting sqref="F3:F1000">
    <cfRule type="cellIs" dxfId="2" priority="1" operator="equal">
      <formula>"Success"</formula>
    </cfRule>
    <cfRule type="cellIs" dxfId="1" priority="2" operator="equal">
      <formula>"Partial"</formula>
    </cfRule>
    <cfRule type="cellIs" dxfId="0" priority="3" operator="equal">
      <formula>"Failed"</formula>
    </cfRule>
  </conditionalFormatting>
  <conditionalFormatting sqref="G3:G1000">
    <cfRule type="colorScale" priority="4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H3:H1000">
    <cfRule type="colorScale" priority="5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I3:I1000">
    <cfRule type="colorScale" priority="6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J3:J1000">
    <cfRule type="colorScale" priority="7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K3:K1000">
    <cfRule type="colorScale" priority="8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L3:L1000">
    <cfRule type="colorScale" priority="9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hyperlinks>
    <hyperlink ref="N4" r:id="rId1" xr:uid="{BCB14506-7229-466A-911A-C7B26CA69316}"/>
    <hyperlink ref="O4" r:id="rId2" xr:uid="{2B0BD96C-A66E-451A-8395-E55E01CFB597}"/>
    <hyperlink ref="N5" r:id="rId3" xr:uid="{61714ACF-DBC2-433F-A992-6C55203FD302}"/>
    <hyperlink ref="O5" r:id="rId4" xr:uid="{402E6579-3F12-4C3D-A299-B45EA896E2B1}"/>
    <hyperlink ref="N6" r:id="rId5" xr:uid="{9C9C56C8-13EA-4581-B327-DC6F9EE59C03}"/>
    <hyperlink ref="O6" r:id="rId6" xr:uid="{B208BBBE-9C03-46DA-8ABA-6146A9EBCD88}"/>
    <hyperlink ref="N7" r:id="rId7" xr:uid="{AB654437-83C4-4118-B264-26E6F4FF9053}"/>
    <hyperlink ref="O7" r:id="rId8" xr:uid="{E403A863-940A-4F7F-81A6-E9840294F474}"/>
    <hyperlink ref="N8" r:id="rId9" xr:uid="{02080076-7713-49FB-9DA1-C5D33D0EE02A}"/>
    <hyperlink ref="O8" r:id="rId10" xr:uid="{7AF232E1-A1DF-44FF-9715-5168A529F254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E44"/>
  <sheetViews>
    <sheetView showGridLines="0" workbookViewId="0"/>
  </sheetViews>
  <sheetFormatPr defaultRowHeight="14.4" x14ac:dyDescent="0.3"/>
  <cols>
    <col min="1" max="1" width="3" customWidth="1"/>
    <col min="2" max="2" width="28" customWidth="1"/>
    <col min="3" max="3" width="24" customWidth="1"/>
    <col min="4" max="4" width="22" customWidth="1"/>
    <col min="5" max="5" width="18" customWidth="1"/>
  </cols>
  <sheetData>
    <row r="1" spans="2:5" ht="18" x14ac:dyDescent="0.3">
      <c r="B1" s="51" t="s">
        <v>55</v>
      </c>
      <c r="C1" s="43"/>
      <c r="D1" s="43"/>
      <c r="E1" s="43"/>
    </row>
    <row r="3" spans="2:5" x14ac:dyDescent="0.3">
      <c r="B3" s="52" t="s">
        <v>56</v>
      </c>
      <c r="C3" s="43"/>
      <c r="D3" s="43"/>
      <c r="E3" s="43"/>
    </row>
    <row r="4" spans="2:5" x14ac:dyDescent="0.3">
      <c r="B4" s="15" t="s">
        <v>57</v>
      </c>
      <c r="C4" s="15" t="s">
        <v>58</v>
      </c>
      <c r="D4" s="15" t="s">
        <v>59</v>
      </c>
    </row>
    <row r="5" spans="2:5" x14ac:dyDescent="0.3">
      <c r="B5" s="16" t="s">
        <v>60</v>
      </c>
      <c r="C5" s="17" t="s">
        <v>61</v>
      </c>
      <c r="D5" s="18" t="s">
        <v>62</v>
      </c>
    </row>
    <row r="6" spans="2:5" x14ac:dyDescent="0.3">
      <c r="B6" s="16" t="s">
        <v>63</v>
      </c>
      <c r="C6" s="17" t="s">
        <v>64</v>
      </c>
      <c r="D6" s="18" t="s">
        <v>65</v>
      </c>
    </row>
    <row r="7" spans="2:5" x14ac:dyDescent="0.3">
      <c r="B7" s="16" t="s">
        <v>66</v>
      </c>
      <c r="C7" s="17" t="s">
        <v>67</v>
      </c>
      <c r="D7" s="18" t="s">
        <v>68</v>
      </c>
    </row>
    <row r="8" spans="2:5" x14ac:dyDescent="0.3">
      <c r="B8" s="16" t="s">
        <v>69</v>
      </c>
      <c r="C8" s="17" t="s">
        <v>64</v>
      </c>
      <c r="D8" s="18" t="s">
        <v>65</v>
      </c>
    </row>
    <row r="9" spans="2:5" x14ac:dyDescent="0.3">
      <c r="B9" s="16" t="s">
        <v>70</v>
      </c>
      <c r="C9" s="17" t="s">
        <v>64</v>
      </c>
      <c r="D9" s="18" t="s">
        <v>65</v>
      </c>
    </row>
    <row r="10" spans="2:5" x14ac:dyDescent="0.3">
      <c r="B10" s="16" t="s">
        <v>71</v>
      </c>
      <c r="C10" s="17" t="s">
        <v>72</v>
      </c>
      <c r="D10" s="18" t="s">
        <v>65</v>
      </c>
    </row>
    <row r="12" spans="2:5" x14ac:dyDescent="0.3">
      <c r="B12" s="52" t="s">
        <v>73</v>
      </c>
      <c r="C12" s="43"/>
      <c r="D12" s="43"/>
      <c r="E12" s="43"/>
    </row>
    <row r="13" spans="2:5" x14ac:dyDescent="0.3">
      <c r="B13" s="15" t="s">
        <v>57</v>
      </c>
      <c r="C13" s="15" t="s">
        <v>58</v>
      </c>
      <c r="D13" s="15" t="s">
        <v>59</v>
      </c>
    </row>
    <row r="14" spans="2:5" x14ac:dyDescent="0.3">
      <c r="B14" s="16" t="s">
        <v>74</v>
      </c>
      <c r="C14" s="17">
        <v>7</v>
      </c>
      <c r="D14" s="18" t="s">
        <v>75</v>
      </c>
    </row>
    <row r="15" spans="2:5" x14ac:dyDescent="0.3">
      <c r="B15" s="16" t="s">
        <v>76</v>
      </c>
      <c r="C15" s="17">
        <v>30</v>
      </c>
      <c r="D15" s="18" t="s">
        <v>77</v>
      </c>
    </row>
    <row r="16" spans="2:5" x14ac:dyDescent="0.3">
      <c r="B16" s="16" t="s">
        <v>78</v>
      </c>
      <c r="C16" s="17">
        <v>50</v>
      </c>
      <c r="D16" s="18" t="s">
        <v>79</v>
      </c>
    </row>
    <row r="18" spans="2:5" x14ac:dyDescent="0.3">
      <c r="B18" s="52" t="s">
        <v>80</v>
      </c>
      <c r="C18" s="43"/>
      <c r="D18" s="43"/>
      <c r="E18" s="43"/>
    </row>
    <row r="19" spans="2:5" x14ac:dyDescent="0.3">
      <c r="B19" s="15" t="s">
        <v>57</v>
      </c>
      <c r="C19" s="15" t="s">
        <v>58</v>
      </c>
      <c r="D19" s="15" t="s">
        <v>59</v>
      </c>
    </row>
    <row r="20" spans="2:5" x14ac:dyDescent="0.3">
      <c r="B20" s="16" t="s">
        <v>81</v>
      </c>
      <c r="C20" s="17">
        <v>254</v>
      </c>
      <c r="D20" s="18" t="s">
        <v>82</v>
      </c>
    </row>
    <row r="21" spans="2:5" x14ac:dyDescent="0.3">
      <c r="B21" s="16" t="s">
        <v>83</v>
      </c>
      <c r="C21" s="17">
        <v>20</v>
      </c>
      <c r="D21" s="18" t="s">
        <v>84</v>
      </c>
    </row>
    <row r="23" spans="2:5" x14ac:dyDescent="0.3">
      <c r="B23" s="52" t="s">
        <v>85</v>
      </c>
      <c r="C23" s="43"/>
      <c r="D23" s="43"/>
      <c r="E23" s="43"/>
    </row>
    <row r="24" spans="2:5" x14ac:dyDescent="0.3">
      <c r="B24" s="15" t="s">
        <v>57</v>
      </c>
      <c r="C24" s="15" t="s">
        <v>58</v>
      </c>
      <c r="D24" s="15" t="s">
        <v>59</v>
      </c>
    </row>
    <row r="25" spans="2:5" x14ac:dyDescent="0.3">
      <c r="B25" s="16" t="s">
        <v>86</v>
      </c>
      <c r="C25" s="17">
        <v>150</v>
      </c>
      <c r="D25" s="18" t="s">
        <v>87</v>
      </c>
    </row>
    <row r="26" spans="2:5" x14ac:dyDescent="0.3">
      <c r="B26" s="16" t="s">
        <v>88</v>
      </c>
      <c r="C26" s="17">
        <v>4.5999999999999996</v>
      </c>
      <c r="D26" s="18" t="s">
        <v>89</v>
      </c>
    </row>
    <row r="27" spans="2:5" x14ac:dyDescent="0.3">
      <c r="B27" s="16" t="s">
        <v>90</v>
      </c>
      <c r="C27" s="17">
        <v>3.5</v>
      </c>
      <c r="D27" s="18" t="s">
        <v>91</v>
      </c>
    </row>
    <row r="28" spans="2:5" x14ac:dyDescent="0.3">
      <c r="B28" s="16" t="s">
        <v>92</v>
      </c>
      <c r="C28" s="17" t="s">
        <v>93</v>
      </c>
      <c r="D28" s="18" t="s">
        <v>94</v>
      </c>
    </row>
    <row r="30" spans="2:5" x14ac:dyDescent="0.3">
      <c r="B30" s="52" t="s">
        <v>95</v>
      </c>
      <c r="C30" s="43"/>
      <c r="D30" s="43"/>
      <c r="E30" s="43"/>
    </row>
    <row r="31" spans="2:5" x14ac:dyDescent="0.3">
      <c r="B31" s="15" t="s">
        <v>57</v>
      </c>
      <c r="C31" s="15" t="s">
        <v>58</v>
      </c>
      <c r="D31" s="15" t="s">
        <v>59</v>
      </c>
    </row>
    <row r="32" spans="2:5" x14ac:dyDescent="0.3">
      <c r="B32" s="16" t="s">
        <v>96</v>
      </c>
      <c r="C32" s="17">
        <v>7</v>
      </c>
      <c r="D32" s="18" t="s">
        <v>75</v>
      </c>
    </row>
    <row r="33" spans="2:5" x14ac:dyDescent="0.3">
      <c r="B33" s="16" t="s">
        <v>97</v>
      </c>
      <c r="C33" s="17" t="s">
        <v>98</v>
      </c>
      <c r="D33" s="18" t="s">
        <v>99</v>
      </c>
    </row>
    <row r="35" spans="2:5" x14ac:dyDescent="0.3">
      <c r="B35" s="52" t="s">
        <v>100</v>
      </c>
      <c r="C35" s="43"/>
      <c r="D35" s="43"/>
      <c r="E35" s="43"/>
    </row>
    <row r="36" spans="2:5" x14ac:dyDescent="0.3">
      <c r="B36" s="15" t="s">
        <v>57</v>
      </c>
      <c r="C36" s="15" t="s">
        <v>58</v>
      </c>
      <c r="D36" s="15" t="s">
        <v>59</v>
      </c>
    </row>
    <row r="37" spans="2:5" x14ac:dyDescent="0.3">
      <c r="B37" s="16" t="s">
        <v>101</v>
      </c>
      <c r="C37" s="17">
        <v>0.7</v>
      </c>
      <c r="D37" s="18" t="s">
        <v>102</v>
      </c>
    </row>
    <row r="38" spans="2:5" x14ac:dyDescent="0.3">
      <c r="B38" s="16" t="s">
        <v>103</v>
      </c>
      <c r="C38" s="17" t="s">
        <v>64</v>
      </c>
      <c r="D38" s="18" t="s">
        <v>65</v>
      </c>
    </row>
    <row r="40" spans="2:5" x14ac:dyDescent="0.3">
      <c r="B40" s="52" t="s">
        <v>104</v>
      </c>
      <c r="C40" s="43"/>
      <c r="D40" s="43"/>
      <c r="E40" s="43"/>
    </row>
    <row r="41" spans="2:5" x14ac:dyDescent="0.3">
      <c r="B41" s="15" t="s">
        <v>57</v>
      </c>
      <c r="C41" s="15" t="s">
        <v>58</v>
      </c>
      <c r="D41" s="15" t="s">
        <v>59</v>
      </c>
    </row>
    <row r="42" spans="2:5" x14ac:dyDescent="0.3">
      <c r="B42" s="16" t="s">
        <v>105</v>
      </c>
      <c r="C42" s="17" t="s">
        <v>106</v>
      </c>
      <c r="D42" s="18" t="s">
        <v>107</v>
      </c>
    </row>
    <row r="43" spans="2:5" x14ac:dyDescent="0.3">
      <c r="B43" s="16" t="s">
        <v>108</v>
      </c>
      <c r="C43" s="17">
        <v>60</v>
      </c>
      <c r="D43" s="18" t="s">
        <v>109</v>
      </c>
    </row>
    <row r="44" spans="2:5" x14ac:dyDescent="0.3">
      <c r="B44" s="16" t="s">
        <v>110</v>
      </c>
      <c r="C44" s="17">
        <v>10</v>
      </c>
      <c r="D44" s="18" t="s">
        <v>111</v>
      </c>
    </row>
  </sheetData>
  <mergeCells count="8">
    <mergeCell ref="B23:E23"/>
    <mergeCell ref="B18:E18"/>
    <mergeCell ref="B1:E1"/>
    <mergeCell ref="B40:E40"/>
    <mergeCell ref="B35:E35"/>
    <mergeCell ref="B12:E12"/>
    <mergeCell ref="B30:E30"/>
    <mergeCell ref="B3:E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9"/>
  <sheetViews>
    <sheetView workbookViewId="0">
      <selection sqref="A1:F1"/>
    </sheetView>
  </sheetViews>
  <sheetFormatPr defaultRowHeight="14.4" x14ac:dyDescent="0.3"/>
  <cols>
    <col min="1" max="1" width="22" customWidth="1"/>
    <col min="2" max="2" width="44" customWidth="1"/>
    <col min="3" max="3" width="12" customWidth="1"/>
    <col min="4" max="4" width="32" customWidth="1"/>
    <col min="5" max="5" width="14" customWidth="1"/>
    <col min="6" max="6" width="10" customWidth="1"/>
  </cols>
  <sheetData>
    <row r="1" spans="1:6" ht="18" x14ac:dyDescent="0.3">
      <c r="A1" s="51" t="s">
        <v>112</v>
      </c>
      <c r="B1" s="43"/>
      <c r="C1" s="43"/>
      <c r="D1" s="43"/>
      <c r="E1" s="43"/>
      <c r="F1" s="43"/>
    </row>
    <row r="2" spans="1:6" x14ac:dyDescent="0.3">
      <c r="A2" s="4" t="s">
        <v>113</v>
      </c>
      <c r="B2" s="4" t="s">
        <v>114</v>
      </c>
      <c r="C2" s="4" t="s">
        <v>115</v>
      </c>
      <c r="D2" s="4" t="s">
        <v>116</v>
      </c>
      <c r="E2" s="4" t="s">
        <v>117</v>
      </c>
      <c r="F2" s="4" t="s">
        <v>118</v>
      </c>
    </row>
    <row r="3" spans="1:6" x14ac:dyDescent="0.3">
      <c r="A3" s="2" t="s">
        <v>119</v>
      </c>
      <c r="B3" s="2" t="s">
        <v>120</v>
      </c>
      <c r="C3" s="2" t="s">
        <v>121</v>
      </c>
      <c r="D3" s="2" t="s">
        <v>122</v>
      </c>
      <c r="E3" s="2" t="s">
        <v>72</v>
      </c>
      <c r="F3" s="2" t="s">
        <v>64</v>
      </c>
    </row>
    <row r="4" spans="1:6" x14ac:dyDescent="0.3">
      <c r="A4" s="19" t="s">
        <v>123</v>
      </c>
      <c r="B4" s="19" t="s">
        <v>124</v>
      </c>
      <c r="C4" s="19" t="s">
        <v>121</v>
      </c>
      <c r="D4" s="19" t="s">
        <v>125</v>
      </c>
      <c r="E4" s="19" t="s">
        <v>72</v>
      </c>
      <c r="F4" s="19" t="s">
        <v>72</v>
      </c>
    </row>
    <row r="5" spans="1:6" x14ac:dyDescent="0.3">
      <c r="A5" s="2" t="s">
        <v>117</v>
      </c>
      <c r="B5" s="2" t="s">
        <v>126</v>
      </c>
      <c r="C5" s="2" t="s">
        <v>127</v>
      </c>
      <c r="D5" s="2" t="s">
        <v>128</v>
      </c>
      <c r="E5" s="2" t="s">
        <v>64</v>
      </c>
      <c r="F5" s="2" t="s">
        <v>72</v>
      </c>
    </row>
    <row r="6" spans="1:6" x14ac:dyDescent="0.3">
      <c r="A6" s="19" t="s">
        <v>129</v>
      </c>
      <c r="B6" s="19" t="s">
        <v>130</v>
      </c>
      <c r="C6" s="19" t="s">
        <v>121</v>
      </c>
      <c r="D6" s="19" t="s">
        <v>131</v>
      </c>
      <c r="E6" s="19" t="s">
        <v>72</v>
      </c>
      <c r="F6" s="19" t="s">
        <v>72</v>
      </c>
    </row>
    <row r="7" spans="1:6" x14ac:dyDescent="0.3">
      <c r="A7" s="2" t="s">
        <v>132</v>
      </c>
      <c r="B7" s="2" t="s">
        <v>133</v>
      </c>
      <c r="C7" s="2" t="s">
        <v>127</v>
      </c>
      <c r="D7" s="2" t="s">
        <v>134</v>
      </c>
      <c r="E7" s="2" t="s">
        <v>72</v>
      </c>
      <c r="F7" s="2" t="s">
        <v>72</v>
      </c>
    </row>
    <row r="9" spans="1:6" x14ac:dyDescent="0.3">
      <c r="A9" s="53" t="s">
        <v>135</v>
      </c>
      <c r="B9" s="43"/>
      <c r="C9" s="43"/>
      <c r="D9" s="43"/>
      <c r="E9" s="43"/>
      <c r="F9" s="43"/>
    </row>
  </sheetData>
  <mergeCells count="2">
    <mergeCell ref="A1:F1"/>
    <mergeCell ref="A9:F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C44"/>
  <sheetViews>
    <sheetView workbookViewId="0"/>
  </sheetViews>
  <sheetFormatPr defaultRowHeight="14.4" x14ac:dyDescent="0.3"/>
  <cols>
    <col min="1" max="1" width="3" customWidth="1"/>
    <col min="2" max="2" width="30" customWidth="1"/>
    <col min="3" max="3" width="70" customWidth="1"/>
  </cols>
  <sheetData>
    <row r="1" spans="2:3" ht="18" x14ac:dyDescent="0.3">
      <c r="B1" s="51" t="s">
        <v>136</v>
      </c>
      <c r="C1" s="43"/>
    </row>
    <row r="3" spans="2:3" x14ac:dyDescent="0.3">
      <c r="B3" s="52" t="s">
        <v>137</v>
      </c>
      <c r="C3" s="43"/>
    </row>
    <row r="4" spans="2:3" ht="19.95" customHeight="1" x14ac:dyDescent="0.3">
      <c r="B4" s="15" t="s">
        <v>138</v>
      </c>
      <c r="C4" s="20" t="s">
        <v>139</v>
      </c>
    </row>
    <row r="5" spans="2:3" ht="19.95" customHeight="1" x14ac:dyDescent="0.3">
      <c r="B5" s="15" t="s">
        <v>140</v>
      </c>
      <c r="C5" s="20" t="s">
        <v>141</v>
      </c>
    </row>
    <row r="6" spans="2:3" ht="19.95" customHeight="1" x14ac:dyDescent="0.3">
      <c r="B6" s="15" t="s">
        <v>142</v>
      </c>
      <c r="C6" s="20" t="s">
        <v>143</v>
      </c>
    </row>
    <row r="7" spans="2:3" ht="19.95" customHeight="1" x14ac:dyDescent="0.3">
      <c r="B7" s="15" t="s">
        <v>144</v>
      </c>
      <c r="C7" s="20" t="s">
        <v>145</v>
      </c>
    </row>
    <row r="8" spans="2:3" ht="19.95" customHeight="1" x14ac:dyDescent="0.3">
      <c r="B8" s="15" t="s">
        <v>146</v>
      </c>
      <c r="C8" s="20" t="s">
        <v>147</v>
      </c>
    </row>
    <row r="10" spans="2:3" x14ac:dyDescent="0.3">
      <c r="B10" s="52" t="s">
        <v>148</v>
      </c>
      <c r="C10" s="43"/>
    </row>
    <row r="11" spans="2:3" ht="19.95" customHeight="1" x14ac:dyDescent="0.3">
      <c r="B11" s="15" t="s">
        <v>149</v>
      </c>
      <c r="C11" s="20" t="s">
        <v>150</v>
      </c>
    </row>
    <row r="12" spans="2:3" ht="19.95" customHeight="1" x14ac:dyDescent="0.3">
      <c r="B12" s="15" t="s">
        <v>151</v>
      </c>
      <c r="C12" s="20" t="s">
        <v>152</v>
      </c>
    </row>
    <row r="13" spans="2:3" ht="19.95" customHeight="1" x14ac:dyDescent="0.3">
      <c r="B13" s="15" t="s">
        <v>153</v>
      </c>
      <c r="C13" s="20" t="s">
        <v>154</v>
      </c>
    </row>
    <row r="14" spans="2:3" ht="19.95" customHeight="1" x14ac:dyDescent="0.3">
      <c r="B14" s="15" t="s">
        <v>30</v>
      </c>
      <c r="C14" s="20" t="s">
        <v>155</v>
      </c>
    </row>
    <row r="15" spans="2:3" ht="19.95" customHeight="1" x14ac:dyDescent="0.3">
      <c r="B15" s="15" t="s">
        <v>156</v>
      </c>
      <c r="C15" s="20" t="s">
        <v>157</v>
      </c>
    </row>
    <row r="16" spans="2:3" ht="19.95" customHeight="1" x14ac:dyDescent="0.3">
      <c r="B16" s="15" t="s">
        <v>158</v>
      </c>
      <c r="C16" s="20" t="s">
        <v>159</v>
      </c>
    </row>
    <row r="17" spans="2:3" ht="19.95" customHeight="1" x14ac:dyDescent="0.3">
      <c r="B17" s="15" t="s">
        <v>160</v>
      </c>
      <c r="C17" s="20" t="s">
        <v>161</v>
      </c>
    </row>
    <row r="18" spans="2:3" ht="19.95" customHeight="1" x14ac:dyDescent="0.3">
      <c r="B18" s="15" t="s">
        <v>162</v>
      </c>
      <c r="C18" s="20" t="s">
        <v>163</v>
      </c>
    </row>
    <row r="20" spans="2:3" x14ac:dyDescent="0.3">
      <c r="B20" s="52" t="s">
        <v>164</v>
      </c>
      <c r="C20" s="43"/>
    </row>
    <row r="21" spans="2:3" ht="19.95" customHeight="1" x14ac:dyDescent="0.3">
      <c r="B21" s="15" t="s">
        <v>18</v>
      </c>
      <c r="C21" s="20" t="s">
        <v>165</v>
      </c>
    </row>
    <row r="22" spans="2:3" ht="19.95" customHeight="1" x14ac:dyDescent="0.3">
      <c r="B22" s="15" t="s">
        <v>166</v>
      </c>
      <c r="C22" s="20" t="s">
        <v>167</v>
      </c>
    </row>
    <row r="23" spans="2:3" ht="19.95" customHeight="1" x14ac:dyDescent="0.3">
      <c r="B23" s="15" t="s">
        <v>168</v>
      </c>
      <c r="C23" s="20" t="s">
        <v>169</v>
      </c>
    </row>
    <row r="24" spans="2:3" ht="19.95" customHeight="1" x14ac:dyDescent="0.3">
      <c r="B24" s="15" t="s">
        <v>170</v>
      </c>
      <c r="C24" s="20" t="s">
        <v>171</v>
      </c>
    </row>
    <row r="25" spans="2:3" ht="19.95" customHeight="1" x14ac:dyDescent="0.3">
      <c r="B25" s="15" t="s">
        <v>172</v>
      </c>
      <c r="C25" s="20" t="s">
        <v>173</v>
      </c>
    </row>
    <row r="26" spans="2:3" ht="19.95" customHeight="1" x14ac:dyDescent="0.3">
      <c r="B26" s="15" t="s">
        <v>174</v>
      </c>
      <c r="C26" s="20" t="s">
        <v>175</v>
      </c>
    </row>
    <row r="27" spans="2:3" ht="19.95" customHeight="1" x14ac:dyDescent="0.3">
      <c r="B27" s="15" t="s">
        <v>176</v>
      </c>
      <c r="C27" s="20" t="s">
        <v>177</v>
      </c>
    </row>
    <row r="28" spans="2:3" ht="19.95" customHeight="1" x14ac:dyDescent="0.3">
      <c r="B28" s="15" t="s">
        <v>178</v>
      </c>
      <c r="C28" s="20" t="s">
        <v>179</v>
      </c>
    </row>
    <row r="29" spans="2:3" ht="19.95" customHeight="1" x14ac:dyDescent="0.3">
      <c r="B29" s="15" t="s">
        <v>180</v>
      </c>
      <c r="C29" s="20" t="s">
        <v>181</v>
      </c>
    </row>
    <row r="30" spans="2:3" ht="19.95" customHeight="1" x14ac:dyDescent="0.3">
      <c r="B30" s="15" t="s">
        <v>182</v>
      </c>
      <c r="C30" s="20" t="s">
        <v>183</v>
      </c>
    </row>
    <row r="32" spans="2:3" x14ac:dyDescent="0.3">
      <c r="B32" s="52" t="s">
        <v>184</v>
      </c>
      <c r="C32" s="43"/>
    </row>
    <row r="33" spans="2:3" ht="19.95" customHeight="1" x14ac:dyDescent="0.3">
      <c r="B33" s="15" t="s">
        <v>185</v>
      </c>
      <c r="C33" s="20" t="s">
        <v>186</v>
      </c>
    </row>
    <row r="34" spans="2:3" ht="19.95" customHeight="1" x14ac:dyDescent="0.3">
      <c r="B34" s="15" t="s">
        <v>187</v>
      </c>
      <c r="C34" s="20" t="s">
        <v>188</v>
      </c>
    </row>
    <row r="35" spans="2:3" ht="19.95" customHeight="1" x14ac:dyDescent="0.3">
      <c r="B35" s="15" t="s">
        <v>189</v>
      </c>
      <c r="C35" s="20" t="s">
        <v>190</v>
      </c>
    </row>
    <row r="36" spans="2:3" ht="19.95" customHeight="1" x14ac:dyDescent="0.3">
      <c r="B36" s="15" t="s">
        <v>191</v>
      </c>
      <c r="C36" s="20" t="s">
        <v>192</v>
      </c>
    </row>
    <row r="37" spans="2:3" ht="19.95" customHeight="1" x14ac:dyDescent="0.3">
      <c r="B37" s="15" t="s">
        <v>193</v>
      </c>
      <c r="C37" s="20" t="s">
        <v>194</v>
      </c>
    </row>
    <row r="39" spans="2:3" x14ac:dyDescent="0.3">
      <c r="B39" s="52" t="s">
        <v>195</v>
      </c>
      <c r="C39" s="43"/>
    </row>
    <row r="40" spans="2:3" ht="19.95" customHeight="1" x14ac:dyDescent="0.3">
      <c r="B40" s="15" t="s">
        <v>196</v>
      </c>
      <c r="C40" s="20" t="s">
        <v>197</v>
      </c>
    </row>
    <row r="41" spans="2:3" ht="19.95" customHeight="1" x14ac:dyDescent="0.3">
      <c r="B41" s="15" t="s">
        <v>198</v>
      </c>
      <c r="C41" s="20" t="s">
        <v>199</v>
      </c>
    </row>
    <row r="42" spans="2:3" ht="19.95" customHeight="1" x14ac:dyDescent="0.3">
      <c r="B42" s="15" t="s">
        <v>200</v>
      </c>
      <c r="C42" s="20" t="s">
        <v>201</v>
      </c>
    </row>
    <row r="43" spans="2:3" ht="19.95" customHeight="1" x14ac:dyDescent="0.3">
      <c r="B43" s="15" t="s">
        <v>202</v>
      </c>
      <c r="C43" s="20" t="s">
        <v>203</v>
      </c>
    </row>
    <row r="44" spans="2:3" ht="19.95" customHeight="1" x14ac:dyDescent="0.3">
      <c r="B44" s="15" t="s">
        <v>204</v>
      </c>
      <c r="C44" s="20" t="s">
        <v>205</v>
      </c>
    </row>
  </sheetData>
  <mergeCells count="6">
    <mergeCell ref="B1:C1"/>
    <mergeCell ref="B39:C39"/>
    <mergeCell ref="B3:C3"/>
    <mergeCell ref="B20:C20"/>
    <mergeCell ref="B10:C10"/>
    <mergeCell ref="B32:C3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C13"/>
  <sheetViews>
    <sheetView workbookViewId="0"/>
  </sheetViews>
  <sheetFormatPr defaultRowHeight="14.4" x14ac:dyDescent="0.3"/>
  <cols>
    <col min="2" max="2" width="28" customWidth="1"/>
    <col min="3" max="3" width="60" customWidth="1"/>
  </cols>
  <sheetData>
    <row r="1" spans="2:3" ht="18" x14ac:dyDescent="0.3">
      <c r="B1" s="51" t="s">
        <v>206</v>
      </c>
      <c r="C1" s="43"/>
    </row>
    <row r="3" spans="2:3" ht="19.95" customHeight="1" x14ac:dyDescent="0.3">
      <c r="B3" s="15" t="s">
        <v>207</v>
      </c>
      <c r="C3" s="20" t="s">
        <v>208</v>
      </c>
    </row>
    <row r="4" spans="2:3" ht="19.95" customHeight="1" x14ac:dyDescent="0.3">
      <c r="B4" s="15" t="s">
        <v>209</v>
      </c>
      <c r="C4" s="20" t="s">
        <v>210</v>
      </c>
    </row>
    <row r="5" spans="2:3" ht="19.95" customHeight="1" x14ac:dyDescent="0.3">
      <c r="B5" s="15" t="s">
        <v>211</v>
      </c>
      <c r="C5" s="20" t="s">
        <v>212</v>
      </c>
    </row>
    <row r="6" spans="2:3" ht="19.95" customHeight="1" x14ac:dyDescent="0.3">
      <c r="B6" s="15" t="s">
        <v>213</v>
      </c>
      <c r="C6" s="20" t="s">
        <v>214</v>
      </c>
    </row>
    <row r="7" spans="2:3" ht="34.049999999999997" customHeight="1" x14ac:dyDescent="0.3">
      <c r="B7" s="15" t="s">
        <v>215</v>
      </c>
      <c r="C7" s="20" t="s">
        <v>216</v>
      </c>
    </row>
    <row r="9" spans="2:3" ht="19.95" customHeight="1" x14ac:dyDescent="0.3">
      <c r="B9" s="21" t="s">
        <v>217</v>
      </c>
      <c r="C9" s="20"/>
    </row>
    <row r="10" spans="2:3" ht="97.95" customHeight="1" x14ac:dyDescent="0.3">
      <c r="B10" s="15" t="s">
        <v>218</v>
      </c>
      <c r="C10" s="20" t="s">
        <v>219</v>
      </c>
    </row>
    <row r="12" spans="2:3" ht="19.95" customHeight="1" x14ac:dyDescent="0.3">
      <c r="B12" s="21" t="s">
        <v>220</v>
      </c>
      <c r="C12" s="20" t="s">
        <v>221</v>
      </c>
    </row>
    <row r="13" spans="2:3" ht="19.95" customHeight="1" x14ac:dyDescent="0.3">
      <c r="B13" s="21" t="s">
        <v>222</v>
      </c>
      <c r="C13" s="20" t="s">
        <v>223</v>
      </c>
    </row>
  </sheetData>
  <mergeCells count="1">
    <mergeCell ref="B1:C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7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16" customWidth="1"/>
    <col min="2" max="2" width="40" customWidth="1"/>
    <col min="3" max="3" width="6" customWidth="1"/>
    <col min="4" max="4" width="52" customWidth="1"/>
    <col min="5" max="5" width="32" customWidth="1"/>
    <col min="6" max="6" width="8" customWidth="1"/>
    <col min="7" max="7" width="12" customWidth="1"/>
    <col min="8" max="8" width="44" customWidth="1"/>
    <col min="9" max="9" width="20" customWidth="1"/>
    <col min="10" max="10" width="44" customWidth="1"/>
  </cols>
  <sheetData>
    <row r="1" spans="1:10" ht="17.399999999999999" x14ac:dyDescent="0.3">
      <c r="A1" s="54" t="s">
        <v>224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ht="22.05" customHeight="1" x14ac:dyDescent="0.3">
      <c r="A2" s="4" t="s">
        <v>225</v>
      </c>
      <c r="B2" s="4" t="s">
        <v>226</v>
      </c>
      <c r="C2" s="4" t="s">
        <v>227</v>
      </c>
      <c r="D2" s="4" t="s">
        <v>228</v>
      </c>
      <c r="E2" s="4" t="s">
        <v>229</v>
      </c>
      <c r="F2" s="4" t="s">
        <v>230</v>
      </c>
      <c r="G2" s="4" t="s">
        <v>231</v>
      </c>
      <c r="H2" s="4" t="s">
        <v>232</v>
      </c>
      <c r="I2" s="4" t="s">
        <v>233</v>
      </c>
      <c r="J2" s="4" t="s">
        <v>234</v>
      </c>
    </row>
    <row r="3" spans="1:10" ht="18" customHeight="1" x14ac:dyDescent="0.3">
      <c r="A3" s="22" t="s">
        <v>235</v>
      </c>
      <c r="B3" s="23" t="s">
        <v>236</v>
      </c>
      <c r="C3" s="23">
        <v>1999</v>
      </c>
      <c r="D3" s="24" t="s">
        <v>237</v>
      </c>
      <c r="E3" s="23" t="s">
        <v>238</v>
      </c>
      <c r="F3" s="23" t="s">
        <v>239</v>
      </c>
      <c r="G3" s="23" t="s">
        <v>240</v>
      </c>
      <c r="H3" s="25" t="s">
        <v>241</v>
      </c>
      <c r="I3" s="23" t="s">
        <v>242</v>
      </c>
      <c r="J3" s="24" t="s">
        <v>243</v>
      </c>
    </row>
    <row r="4" spans="1:10" ht="18" customHeight="1" x14ac:dyDescent="0.3">
      <c r="A4" s="26" t="s">
        <v>244</v>
      </c>
      <c r="B4" s="27" t="s">
        <v>245</v>
      </c>
      <c r="C4" s="27">
        <v>1997</v>
      </c>
      <c r="D4" s="28" t="s">
        <v>246</v>
      </c>
      <c r="E4" s="27" t="s">
        <v>247</v>
      </c>
      <c r="F4" s="27" t="s">
        <v>248</v>
      </c>
      <c r="G4" s="27" t="s">
        <v>249</v>
      </c>
      <c r="H4" s="29" t="s">
        <v>250</v>
      </c>
      <c r="I4" s="27" t="s">
        <v>242</v>
      </c>
      <c r="J4" s="28" t="s">
        <v>251</v>
      </c>
    </row>
    <row r="5" spans="1:10" ht="18" customHeight="1" x14ac:dyDescent="0.3">
      <c r="A5" s="22" t="s">
        <v>252</v>
      </c>
      <c r="B5" s="23" t="s">
        <v>253</v>
      </c>
      <c r="C5" s="23">
        <v>2000</v>
      </c>
      <c r="D5" s="24" t="s">
        <v>254</v>
      </c>
      <c r="E5" s="23" t="s">
        <v>255</v>
      </c>
      <c r="F5" s="23" t="s">
        <v>256</v>
      </c>
      <c r="G5" s="23" t="s">
        <v>257</v>
      </c>
      <c r="H5" s="25" t="s">
        <v>258</v>
      </c>
      <c r="I5" s="23" t="s">
        <v>242</v>
      </c>
      <c r="J5" s="24" t="s">
        <v>259</v>
      </c>
    </row>
    <row r="6" spans="1:10" ht="18" customHeight="1" x14ac:dyDescent="0.3">
      <c r="A6" s="26" t="s">
        <v>260</v>
      </c>
      <c r="B6" s="27" t="s">
        <v>261</v>
      </c>
      <c r="C6" s="27">
        <v>2004</v>
      </c>
      <c r="D6" s="28" t="s">
        <v>262</v>
      </c>
      <c r="E6" s="27" t="s">
        <v>263</v>
      </c>
      <c r="F6" s="27" t="s">
        <v>264</v>
      </c>
      <c r="G6" s="27" t="s">
        <v>265</v>
      </c>
      <c r="H6" s="29" t="s">
        <v>266</v>
      </c>
      <c r="I6" s="27" t="s">
        <v>242</v>
      </c>
      <c r="J6" s="28" t="s">
        <v>267</v>
      </c>
    </row>
    <row r="7" spans="1:10" ht="18" customHeight="1" x14ac:dyDescent="0.3">
      <c r="A7" s="22" t="s">
        <v>268</v>
      </c>
      <c r="B7" s="23" t="s">
        <v>269</v>
      </c>
      <c r="C7" s="23">
        <v>2002</v>
      </c>
      <c r="D7" s="24" t="s">
        <v>270</v>
      </c>
      <c r="E7" s="23" t="s">
        <v>255</v>
      </c>
      <c r="F7" s="23" t="s">
        <v>271</v>
      </c>
      <c r="G7" s="23" t="s">
        <v>272</v>
      </c>
      <c r="H7" s="25" t="s">
        <v>273</v>
      </c>
      <c r="I7" s="23" t="s">
        <v>242</v>
      </c>
      <c r="J7" s="24" t="s">
        <v>274</v>
      </c>
    </row>
    <row r="8" spans="1:10" ht="18" customHeight="1" x14ac:dyDescent="0.3">
      <c r="A8" s="26" t="s">
        <v>275</v>
      </c>
      <c r="B8" s="27" t="s">
        <v>276</v>
      </c>
      <c r="C8" s="27">
        <v>1999</v>
      </c>
      <c r="D8" s="28" t="s">
        <v>277</v>
      </c>
      <c r="E8" s="27" t="s">
        <v>278</v>
      </c>
      <c r="F8" s="27" t="s">
        <v>279</v>
      </c>
      <c r="G8" s="27" t="s">
        <v>280</v>
      </c>
      <c r="H8" s="29" t="s">
        <v>281</v>
      </c>
      <c r="I8" s="27" t="s">
        <v>242</v>
      </c>
      <c r="J8" s="28" t="s">
        <v>282</v>
      </c>
    </row>
    <row r="9" spans="1:10" ht="18" customHeight="1" x14ac:dyDescent="0.3">
      <c r="A9" s="22" t="s">
        <v>283</v>
      </c>
      <c r="B9" s="23" t="s">
        <v>284</v>
      </c>
      <c r="C9" s="23">
        <v>2012</v>
      </c>
      <c r="D9" s="24" t="s">
        <v>285</v>
      </c>
      <c r="E9" s="23" t="s">
        <v>286</v>
      </c>
      <c r="F9" s="23" t="s">
        <v>287</v>
      </c>
      <c r="G9" s="23" t="s">
        <v>288</v>
      </c>
      <c r="H9" s="25" t="s">
        <v>289</v>
      </c>
      <c r="I9" s="23" t="s">
        <v>242</v>
      </c>
      <c r="J9" s="24" t="s">
        <v>290</v>
      </c>
    </row>
    <row r="10" spans="1:10" ht="18" customHeight="1" x14ac:dyDescent="0.3">
      <c r="A10" s="26" t="s">
        <v>291</v>
      </c>
      <c r="B10" s="27" t="s">
        <v>292</v>
      </c>
      <c r="C10" s="27">
        <v>2003</v>
      </c>
      <c r="D10" s="28" t="s">
        <v>293</v>
      </c>
      <c r="E10" s="27" t="s">
        <v>294</v>
      </c>
      <c r="F10" s="27" t="s">
        <v>22</v>
      </c>
      <c r="G10" s="27" t="s">
        <v>295</v>
      </c>
      <c r="H10" s="29" t="s">
        <v>296</v>
      </c>
      <c r="I10" s="27" t="s">
        <v>242</v>
      </c>
      <c r="J10" s="28" t="s">
        <v>297</v>
      </c>
    </row>
    <row r="11" spans="1:10" ht="18" customHeight="1" x14ac:dyDescent="0.3">
      <c r="A11" s="22" t="s">
        <v>298</v>
      </c>
      <c r="B11" s="23" t="s">
        <v>299</v>
      </c>
      <c r="C11" s="23">
        <v>2000</v>
      </c>
      <c r="D11" s="24" t="s">
        <v>300</v>
      </c>
      <c r="E11" s="23" t="s">
        <v>301</v>
      </c>
      <c r="F11" s="23" t="s">
        <v>302</v>
      </c>
      <c r="G11" s="23" t="s">
        <v>303</v>
      </c>
      <c r="H11" s="25" t="s">
        <v>304</v>
      </c>
      <c r="I11" s="23" t="s">
        <v>242</v>
      </c>
      <c r="J11" s="24" t="s">
        <v>305</v>
      </c>
    </row>
    <row r="12" spans="1:10" ht="18" customHeight="1" x14ac:dyDescent="0.3">
      <c r="A12" s="26" t="s">
        <v>306</v>
      </c>
      <c r="B12" s="27" t="s">
        <v>307</v>
      </c>
      <c r="C12" s="27">
        <v>1976</v>
      </c>
      <c r="D12" s="28" t="s">
        <v>308</v>
      </c>
      <c r="E12" s="27" t="s">
        <v>309</v>
      </c>
      <c r="F12" s="27" t="s">
        <v>310</v>
      </c>
      <c r="G12" s="27" t="s">
        <v>311</v>
      </c>
      <c r="H12" s="29" t="s">
        <v>312</v>
      </c>
      <c r="I12" s="27" t="s">
        <v>242</v>
      </c>
      <c r="J12" s="28" t="s">
        <v>313</v>
      </c>
    </row>
    <row r="13" spans="1:10" ht="18" customHeight="1" x14ac:dyDescent="0.3">
      <c r="A13" s="22" t="s">
        <v>314</v>
      </c>
      <c r="B13" s="23" t="s">
        <v>315</v>
      </c>
      <c r="C13" s="23">
        <v>2004</v>
      </c>
      <c r="D13" s="24" t="s">
        <v>316</v>
      </c>
      <c r="E13" s="23" t="s">
        <v>317</v>
      </c>
      <c r="F13" s="23" t="s">
        <v>318</v>
      </c>
      <c r="G13" s="23" t="s">
        <v>319</v>
      </c>
      <c r="H13" s="25" t="s">
        <v>320</v>
      </c>
      <c r="I13" s="23" t="s">
        <v>321</v>
      </c>
      <c r="J13" s="24" t="s">
        <v>322</v>
      </c>
    </row>
    <row r="14" spans="1:10" ht="18" customHeight="1" x14ac:dyDescent="0.3">
      <c r="A14" s="26" t="s">
        <v>323</v>
      </c>
      <c r="B14" s="27" t="s">
        <v>324</v>
      </c>
      <c r="C14" s="27">
        <v>2004</v>
      </c>
      <c r="D14" s="28" t="s">
        <v>325</v>
      </c>
      <c r="E14" s="27" t="s">
        <v>317</v>
      </c>
      <c r="F14" s="27" t="s">
        <v>326</v>
      </c>
      <c r="G14" s="27" t="s">
        <v>327</v>
      </c>
      <c r="H14" s="29" t="s">
        <v>328</v>
      </c>
      <c r="I14" s="27" t="s">
        <v>329</v>
      </c>
      <c r="J14" s="28" t="s">
        <v>330</v>
      </c>
    </row>
    <row r="15" spans="1:10" ht="18" customHeight="1" x14ac:dyDescent="0.3">
      <c r="A15" s="22" t="s">
        <v>331</v>
      </c>
      <c r="B15" s="23" t="s">
        <v>332</v>
      </c>
      <c r="C15" s="23">
        <v>2004</v>
      </c>
      <c r="D15" s="24" t="s">
        <v>333</v>
      </c>
      <c r="E15" s="23" t="s">
        <v>317</v>
      </c>
      <c r="F15" s="23" t="s">
        <v>334</v>
      </c>
      <c r="G15" s="23" t="s">
        <v>335</v>
      </c>
      <c r="H15" s="25" t="s">
        <v>336</v>
      </c>
      <c r="I15" s="23" t="s">
        <v>329</v>
      </c>
      <c r="J15" s="24" t="s">
        <v>337</v>
      </c>
    </row>
    <row r="16" spans="1:10" ht="18" customHeight="1" x14ac:dyDescent="0.3">
      <c r="A16" s="26" t="s">
        <v>338</v>
      </c>
      <c r="B16" s="27" t="s">
        <v>339</v>
      </c>
      <c r="C16" s="27">
        <v>2008</v>
      </c>
      <c r="D16" s="28" t="s">
        <v>340</v>
      </c>
      <c r="E16" s="27" t="s">
        <v>317</v>
      </c>
      <c r="F16" s="27" t="s">
        <v>341</v>
      </c>
      <c r="G16" s="27" t="s">
        <v>342</v>
      </c>
      <c r="H16" s="29" t="s">
        <v>343</v>
      </c>
      <c r="I16" s="27" t="s">
        <v>329</v>
      </c>
      <c r="J16" s="28" t="s">
        <v>344</v>
      </c>
    </row>
    <row r="17" spans="1:10" ht="18" customHeight="1" x14ac:dyDescent="0.3">
      <c r="A17" s="22" t="s">
        <v>345</v>
      </c>
      <c r="B17" s="23" t="s">
        <v>346</v>
      </c>
      <c r="C17" s="23">
        <v>2005</v>
      </c>
      <c r="D17" s="24" t="s">
        <v>347</v>
      </c>
      <c r="E17" s="23" t="s">
        <v>317</v>
      </c>
      <c r="F17" s="23" t="s">
        <v>348</v>
      </c>
      <c r="G17" s="23" t="s">
        <v>349</v>
      </c>
      <c r="H17" s="25" t="s">
        <v>350</v>
      </c>
      <c r="I17" s="23" t="s">
        <v>329</v>
      </c>
      <c r="J17" s="24" t="s">
        <v>351</v>
      </c>
    </row>
    <row r="18" spans="1:10" ht="18" customHeight="1" x14ac:dyDescent="0.3">
      <c r="A18" s="26" t="s">
        <v>352</v>
      </c>
      <c r="B18" s="27" t="s">
        <v>353</v>
      </c>
      <c r="C18" s="27">
        <v>1993</v>
      </c>
      <c r="D18" s="28" t="s">
        <v>354</v>
      </c>
      <c r="E18" s="27" t="s">
        <v>355</v>
      </c>
      <c r="F18" s="27" t="s">
        <v>356</v>
      </c>
      <c r="G18" s="27" t="s">
        <v>357</v>
      </c>
      <c r="H18" s="29" t="s">
        <v>358</v>
      </c>
      <c r="I18" s="27" t="s">
        <v>359</v>
      </c>
      <c r="J18" s="28" t="s">
        <v>360</v>
      </c>
    </row>
    <row r="19" spans="1:10" ht="18" customHeight="1" x14ac:dyDescent="0.3">
      <c r="A19" s="22" t="s">
        <v>361</v>
      </c>
      <c r="B19" s="23" t="s">
        <v>362</v>
      </c>
      <c r="C19" s="23">
        <v>2021</v>
      </c>
      <c r="D19" s="24" t="s">
        <v>363</v>
      </c>
      <c r="E19" s="23" t="s">
        <v>364</v>
      </c>
      <c r="F19" s="23" t="s">
        <v>22</v>
      </c>
      <c r="G19" s="23" t="s">
        <v>22</v>
      </c>
      <c r="H19" s="23" t="s">
        <v>365</v>
      </c>
      <c r="I19" s="23" t="s">
        <v>366</v>
      </c>
      <c r="J19" s="24" t="s">
        <v>367</v>
      </c>
    </row>
    <row r="20" spans="1:10" ht="18" customHeight="1" x14ac:dyDescent="0.3">
      <c r="A20" s="26" t="s">
        <v>368</v>
      </c>
      <c r="B20" s="27" t="s">
        <v>369</v>
      </c>
      <c r="C20" s="27">
        <v>2024</v>
      </c>
      <c r="D20" s="28" t="s">
        <v>370</v>
      </c>
      <c r="E20" s="27" t="s">
        <v>371</v>
      </c>
      <c r="F20" s="27" t="s">
        <v>22</v>
      </c>
      <c r="G20" s="27" t="s">
        <v>22</v>
      </c>
      <c r="H20" s="27" t="s">
        <v>372</v>
      </c>
      <c r="I20" s="27" t="s">
        <v>366</v>
      </c>
      <c r="J20" s="28" t="s">
        <v>373</v>
      </c>
    </row>
    <row r="21" spans="1:10" ht="18" customHeight="1" x14ac:dyDescent="0.3">
      <c r="A21" s="22" t="s">
        <v>374</v>
      </c>
      <c r="B21" s="23" t="s">
        <v>375</v>
      </c>
      <c r="C21" s="23">
        <v>2002</v>
      </c>
      <c r="D21" s="24" t="s">
        <v>376</v>
      </c>
      <c r="E21" s="23" t="s">
        <v>377</v>
      </c>
      <c r="F21" s="23" t="s">
        <v>378</v>
      </c>
      <c r="G21" s="23" t="s">
        <v>379</v>
      </c>
      <c r="H21" s="25" t="s">
        <v>380</v>
      </c>
      <c r="I21" s="23" t="s">
        <v>381</v>
      </c>
      <c r="J21" s="24" t="s">
        <v>382</v>
      </c>
    </row>
    <row r="22" spans="1:10" ht="18" customHeight="1" x14ac:dyDescent="0.3">
      <c r="A22" s="26" t="s">
        <v>383</v>
      </c>
      <c r="B22" s="27" t="s">
        <v>384</v>
      </c>
      <c r="C22" s="27">
        <v>1974</v>
      </c>
      <c r="D22" s="28" t="s">
        <v>385</v>
      </c>
      <c r="E22" s="27" t="s">
        <v>386</v>
      </c>
      <c r="F22" s="27" t="s">
        <v>22</v>
      </c>
      <c r="G22" s="27" t="s">
        <v>387</v>
      </c>
      <c r="H22" s="29" t="s">
        <v>388</v>
      </c>
      <c r="I22" s="27" t="s">
        <v>381</v>
      </c>
      <c r="J22" s="28" t="s">
        <v>389</v>
      </c>
    </row>
    <row r="23" spans="1:10" ht="18" customHeight="1" x14ac:dyDescent="0.3">
      <c r="A23" s="22" t="s">
        <v>390</v>
      </c>
      <c r="B23" s="23" t="s">
        <v>391</v>
      </c>
      <c r="C23" s="23">
        <v>1993</v>
      </c>
      <c r="D23" s="24" t="s">
        <v>392</v>
      </c>
      <c r="E23" s="23" t="s">
        <v>393</v>
      </c>
      <c r="F23" s="23" t="s">
        <v>394</v>
      </c>
      <c r="G23" s="23" t="s">
        <v>395</v>
      </c>
      <c r="H23" s="25" t="s">
        <v>396</v>
      </c>
      <c r="I23" s="23" t="s">
        <v>381</v>
      </c>
      <c r="J23" s="24" t="s">
        <v>397</v>
      </c>
    </row>
    <row r="24" spans="1:10" ht="18" customHeight="1" x14ac:dyDescent="0.3">
      <c r="A24" s="26" t="s">
        <v>398</v>
      </c>
      <c r="B24" s="27" t="s">
        <v>399</v>
      </c>
      <c r="C24" s="27">
        <v>1996</v>
      </c>
      <c r="D24" s="28" t="s">
        <v>400</v>
      </c>
      <c r="E24" s="27" t="s">
        <v>401</v>
      </c>
      <c r="F24" s="27" t="s">
        <v>22</v>
      </c>
      <c r="G24" s="27" t="s">
        <v>402</v>
      </c>
      <c r="H24" s="29" t="s">
        <v>403</v>
      </c>
      <c r="I24" s="27" t="s">
        <v>381</v>
      </c>
      <c r="J24" s="28" t="s">
        <v>404</v>
      </c>
    </row>
    <row r="25" spans="1:10" ht="18" customHeight="1" x14ac:dyDescent="0.3">
      <c r="A25" s="22" t="s">
        <v>405</v>
      </c>
      <c r="B25" s="23" t="s">
        <v>406</v>
      </c>
      <c r="C25" s="23">
        <v>2001</v>
      </c>
      <c r="D25" s="24" t="s">
        <v>407</v>
      </c>
      <c r="E25" s="23" t="s">
        <v>408</v>
      </c>
      <c r="F25" s="23" t="s">
        <v>409</v>
      </c>
      <c r="G25" s="23" t="s">
        <v>410</v>
      </c>
      <c r="H25" s="25" t="s">
        <v>411</v>
      </c>
      <c r="I25" s="23" t="s">
        <v>381</v>
      </c>
      <c r="J25" s="24" t="s">
        <v>412</v>
      </c>
    </row>
    <row r="26" spans="1:10" ht="18" customHeight="1" x14ac:dyDescent="0.3">
      <c r="A26" s="26" t="s">
        <v>413</v>
      </c>
      <c r="B26" s="27" t="s">
        <v>414</v>
      </c>
      <c r="C26" s="27">
        <v>2004</v>
      </c>
      <c r="D26" s="28" t="s">
        <v>415</v>
      </c>
      <c r="E26" s="27" t="s">
        <v>416</v>
      </c>
      <c r="F26" s="27" t="s">
        <v>417</v>
      </c>
      <c r="G26" s="27" t="s">
        <v>22</v>
      </c>
      <c r="H26" s="29" t="s">
        <v>418</v>
      </c>
      <c r="I26" s="27" t="s">
        <v>381</v>
      </c>
      <c r="J26" s="28" t="s">
        <v>419</v>
      </c>
    </row>
    <row r="27" spans="1:10" ht="18" customHeight="1" x14ac:dyDescent="0.3">
      <c r="A27" s="22" t="s">
        <v>420</v>
      </c>
      <c r="B27" s="23" t="s">
        <v>421</v>
      </c>
      <c r="C27" s="23">
        <v>1999</v>
      </c>
      <c r="D27" s="24" t="s">
        <v>422</v>
      </c>
      <c r="E27" s="23" t="s">
        <v>317</v>
      </c>
      <c r="F27" s="23" t="s">
        <v>423</v>
      </c>
      <c r="G27" s="23" t="s">
        <v>424</v>
      </c>
      <c r="H27" s="25" t="s">
        <v>425</v>
      </c>
      <c r="I27" s="23" t="s">
        <v>381</v>
      </c>
      <c r="J27" s="24" t="s">
        <v>426</v>
      </c>
    </row>
    <row r="28" spans="1:10" ht="18" customHeight="1" x14ac:dyDescent="0.3">
      <c r="A28" s="26" t="s">
        <v>427</v>
      </c>
      <c r="B28" s="27" t="s">
        <v>428</v>
      </c>
      <c r="C28" s="27">
        <v>2011</v>
      </c>
      <c r="D28" s="28" t="s">
        <v>429</v>
      </c>
      <c r="E28" s="27" t="s">
        <v>430</v>
      </c>
      <c r="F28" s="27" t="s">
        <v>22</v>
      </c>
      <c r="G28" s="27" t="s">
        <v>431</v>
      </c>
      <c r="H28" s="29" t="s">
        <v>432</v>
      </c>
      <c r="I28" s="27" t="s">
        <v>433</v>
      </c>
      <c r="J28" s="28" t="s">
        <v>434</v>
      </c>
    </row>
    <row r="29" spans="1:10" ht="18" customHeight="1" x14ac:dyDescent="0.3">
      <c r="A29" s="22" t="s">
        <v>435</v>
      </c>
      <c r="B29" s="23" t="s">
        <v>436</v>
      </c>
      <c r="C29" s="23">
        <v>2012</v>
      </c>
      <c r="D29" s="24" t="s">
        <v>437</v>
      </c>
      <c r="E29" s="23" t="s">
        <v>438</v>
      </c>
      <c r="F29" s="23" t="s">
        <v>439</v>
      </c>
      <c r="G29" s="23" t="s">
        <v>440</v>
      </c>
      <c r="H29" s="23" t="s">
        <v>22</v>
      </c>
      <c r="I29" s="23" t="s">
        <v>381</v>
      </c>
      <c r="J29" s="24" t="s">
        <v>441</v>
      </c>
    </row>
    <row r="30" spans="1:10" ht="18" customHeight="1" x14ac:dyDescent="0.3">
      <c r="A30" s="26" t="s">
        <v>442</v>
      </c>
      <c r="B30" s="27" t="s">
        <v>443</v>
      </c>
      <c r="C30" s="27">
        <v>2006</v>
      </c>
      <c r="D30" s="28" t="s">
        <v>444</v>
      </c>
      <c r="E30" s="27" t="s">
        <v>317</v>
      </c>
      <c r="F30" s="27" t="s">
        <v>445</v>
      </c>
      <c r="G30" s="27" t="s">
        <v>446</v>
      </c>
      <c r="H30" s="29" t="s">
        <v>447</v>
      </c>
      <c r="I30" s="27" t="s">
        <v>448</v>
      </c>
      <c r="J30" s="28" t="s">
        <v>449</v>
      </c>
    </row>
    <row r="31" spans="1:10" ht="18" customHeight="1" x14ac:dyDescent="0.3">
      <c r="A31" s="22" t="s">
        <v>450</v>
      </c>
      <c r="B31" s="23" t="s">
        <v>451</v>
      </c>
      <c r="C31" s="23">
        <v>1974</v>
      </c>
      <c r="D31" s="24" t="s">
        <v>452</v>
      </c>
      <c r="E31" s="23" t="s">
        <v>317</v>
      </c>
      <c r="F31" s="23" t="s">
        <v>453</v>
      </c>
      <c r="G31" s="23" t="s">
        <v>454</v>
      </c>
      <c r="H31" s="25" t="s">
        <v>455</v>
      </c>
      <c r="I31" s="23" t="s">
        <v>448</v>
      </c>
      <c r="J31" s="24" t="s">
        <v>456</v>
      </c>
    </row>
    <row r="32" spans="1:10" ht="18" customHeight="1" x14ac:dyDescent="0.3">
      <c r="A32" s="26" t="s">
        <v>457</v>
      </c>
      <c r="B32" s="27" t="s">
        <v>458</v>
      </c>
      <c r="C32" s="27">
        <v>1993</v>
      </c>
      <c r="D32" s="28" t="s">
        <v>459</v>
      </c>
      <c r="E32" s="27" t="s">
        <v>460</v>
      </c>
      <c r="F32" s="27" t="s">
        <v>461</v>
      </c>
      <c r="G32" s="27" t="s">
        <v>462</v>
      </c>
      <c r="H32" s="29" t="s">
        <v>463</v>
      </c>
      <c r="I32" s="27" t="s">
        <v>448</v>
      </c>
      <c r="J32" s="28" t="s">
        <v>464</v>
      </c>
    </row>
    <row r="33" spans="1:10" ht="18" customHeight="1" x14ac:dyDescent="0.3">
      <c r="A33" s="22" t="s">
        <v>465</v>
      </c>
      <c r="B33" s="23" t="s">
        <v>466</v>
      </c>
      <c r="C33" s="23">
        <v>1997</v>
      </c>
      <c r="D33" s="24" t="s">
        <v>467</v>
      </c>
      <c r="E33" s="23" t="s">
        <v>393</v>
      </c>
      <c r="F33" s="23" t="s">
        <v>468</v>
      </c>
      <c r="G33" s="23" t="s">
        <v>469</v>
      </c>
      <c r="H33" s="25" t="s">
        <v>470</v>
      </c>
      <c r="I33" s="23" t="s">
        <v>448</v>
      </c>
      <c r="J33" s="24" t="s">
        <v>471</v>
      </c>
    </row>
    <row r="34" spans="1:10" ht="18" customHeight="1" x14ac:dyDescent="0.3">
      <c r="A34" s="26" t="s">
        <v>472</v>
      </c>
      <c r="B34" s="27" t="s">
        <v>473</v>
      </c>
      <c r="C34" s="27">
        <v>1999</v>
      </c>
      <c r="D34" s="28" t="s">
        <v>474</v>
      </c>
      <c r="E34" s="27" t="s">
        <v>475</v>
      </c>
      <c r="F34" s="27" t="s">
        <v>476</v>
      </c>
      <c r="G34" s="27" t="s">
        <v>477</v>
      </c>
      <c r="H34" s="27" t="s">
        <v>22</v>
      </c>
      <c r="I34" s="27" t="s">
        <v>448</v>
      </c>
      <c r="J34" s="28" t="s">
        <v>478</v>
      </c>
    </row>
    <row r="35" spans="1:10" ht="18" customHeight="1" x14ac:dyDescent="0.3">
      <c r="A35" s="22" t="s">
        <v>479</v>
      </c>
      <c r="B35" s="23" t="s">
        <v>480</v>
      </c>
      <c r="C35" s="23">
        <v>1997</v>
      </c>
      <c r="D35" s="24" t="s">
        <v>481</v>
      </c>
      <c r="E35" s="23" t="s">
        <v>482</v>
      </c>
      <c r="F35" s="23" t="s">
        <v>22</v>
      </c>
      <c r="G35" s="23" t="s">
        <v>483</v>
      </c>
      <c r="H35" s="25" t="s">
        <v>484</v>
      </c>
      <c r="I35" s="23" t="s">
        <v>485</v>
      </c>
      <c r="J35" s="24" t="s">
        <v>486</v>
      </c>
    </row>
    <row r="36" spans="1:10" ht="18" customHeight="1" x14ac:dyDescent="0.3">
      <c r="A36" s="26" t="s">
        <v>487</v>
      </c>
      <c r="B36" s="27" t="s">
        <v>488</v>
      </c>
      <c r="C36" s="27">
        <v>1983</v>
      </c>
      <c r="D36" s="28" t="s">
        <v>489</v>
      </c>
      <c r="E36" s="27" t="s">
        <v>490</v>
      </c>
      <c r="F36" s="27" t="s">
        <v>461</v>
      </c>
      <c r="G36" s="27" t="s">
        <v>491</v>
      </c>
      <c r="H36" s="29" t="s">
        <v>492</v>
      </c>
      <c r="I36" s="27" t="s">
        <v>448</v>
      </c>
      <c r="J36" s="28" t="s">
        <v>493</v>
      </c>
    </row>
    <row r="37" spans="1:10" ht="18" customHeight="1" x14ac:dyDescent="0.3">
      <c r="A37" s="22" t="s">
        <v>494</v>
      </c>
      <c r="B37" s="23" t="s">
        <v>495</v>
      </c>
      <c r="C37" s="23">
        <v>1990</v>
      </c>
      <c r="D37" s="24" t="s">
        <v>496</v>
      </c>
      <c r="E37" s="23" t="s">
        <v>497</v>
      </c>
      <c r="F37" s="23" t="s">
        <v>22</v>
      </c>
      <c r="G37" s="23" t="s">
        <v>498</v>
      </c>
      <c r="H37" s="25" t="s">
        <v>499</v>
      </c>
      <c r="I37" s="23" t="s">
        <v>448</v>
      </c>
      <c r="J37" s="24" t="s">
        <v>500</v>
      </c>
    </row>
  </sheetData>
  <mergeCells count="1">
    <mergeCell ref="A1:J1"/>
  </mergeCells>
  <hyperlinks>
    <hyperlink ref="H3" r:id="rId1" xr:uid="{00000000-0004-0000-0600-000000000000}"/>
    <hyperlink ref="H4" r:id="rId2" xr:uid="{00000000-0004-0000-0600-000001000000}"/>
    <hyperlink ref="H5" r:id="rId3" xr:uid="{00000000-0004-0000-0600-000002000000}"/>
    <hyperlink ref="H6" r:id="rId4" xr:uid="{00000000-0004-0000-0600-000003000000}"/>
    <hyperlink ref="H7" r:id="rId5" xr:uid="{00000000-0004-0000-0600-000004000000}"/>
    <hyperlink ref="H8" r:id="rId6" xr:uid="{00000000-0004-0000-0600-000005000000}"/>
    <hyperlink ref="H9" r:id="rId7" xr:uid="{00000000-0004-0000-0600-000006000000}"/>
    <hyperlink ref="H10" r:id="rId8" xr:uid="{00000000-0004-0000-0600-000007000000}"/>
    <hyperlink ref="H11" r:id="rId9" xr:uid="{00000000-0004-0000-0600-000008000000}"/>
    <hyperlink ref="H12" r:id="rId10" xr:uid="{00000000-0004-0000-0600-000009000000}"/>
    <hyperlink ref="H13" r:id="rId11" xr:uid="{00000000-0004-0000-0600-00000A000000}"/>
    <hyperlink ref="H14" r:id="rId12" xr:uid="{00000000-0004-0000-0600-00000B000000}"/>
    <hyperlink ref="H15" r:id="rId13" xr:uid="{00000000-0004-0000-0600-00000C000000}"/>
    <hyperlink ref="H16" r:id="rId14" xr:uid="{00000000-0004-0000-0600-00000D000000}"/>
    <hyperlink ref="H17" r:id="rId15" xr:uid="{00000000-0004-0000-0600-00000E000000}"/>
    <hyperlink ref="H18" r:id="rId16" xr:uid="{00000000-0004-0000-0600-00000F000000}"/>
    <hyperlink ref="H21" r:id="rId17" xr:uid="{00000000-0004-0000-0600-000010000000}"/>
    <hyperlink ref="H22" r:id="rId18" xr:uid="{00000000-0004-0000-0600-000011000000}"/>
    <hyperlink ref="H23" r:id="rId19" xr:uid="{00000000-0004-0000-0600-000012000000}"/>
    <hyperlink ref="H24" r:id="rId20" xr:uid="{00000000-0004-0000-0600-000013000000}"/>
    <hyperlink ref="H25" r:id="rId21" xr:uid="{00000000-0004-0000-0600-000014000000}"/>
    <hyperlink ref="H26" r:id="rId22" xr:uid="{00000000-0004-0000-0600-000015000000}"/>
    <hyperlink ref="H27" r:id="rId23" xr:uid="{00000000-0004-0000-0600-000016000000}"/>
    <hyperlink ref="H28" r:id="rId24" xr:uid="{00000000-0004-0000-0600-000017000000}"/>
    <hyperlink ref="H30" r:id="rId25" xr:uid="{00000000-0004-0000-0600-000018000000}"/>
    <hyperlink ref="H31" r:id="rId26" xr:uid="{00000000-0004-0000-0600-000019000000}"/>
    <hyperlink ref="H32" r:id="rId27" xr:uid="{00000000-0004-0000-0600-00001A000000}"/>
    <hyperlink ref="H33" r:id="rId28" xr:uid="{00000000-0004-0000-0600-00001B000000}"/>
    <hyperlink ref="H35" r:id="rId29" xr:uid="{00000000-0004-0000-0600-00001C000000}"/>
    <hyperlink ref="H36" r:id="rId30" xr:uid="{00000000-0004-0000-0600-00001D000000}"/>
    <hyperlink ref="H37" r:id="rId31" xr:uid="{00000000-0004-0000-0600-00001E000000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8"/>
  <sheetViews>
    <sheetView workbookViewId="0"/>
  </sheetViews>
  <sheetFormatPr defaultRowHeight="14.4" x14ac:dyDescent="0.3"/>
  <cols>
    <col min="1" max="1" width="14" customWidth="1"/>
    <col min="2" max="2" width="46" customWidth="1"/>
    <col min="3" max="3" width="36" customWidth="1"/>
    <col min="4" max="4" width="32" customWidth="1"/>
    <col min="5" max="5" width="44" customWidth="1"/>
  </cols>
  <sheetData>
    <row r="1" spans="1:5" ht="15.6" x14ac:dyDescent="0.3">
      <c r="A1" s="44" t="s">
        <v>501</v>
      </c>
      <c r="B1" s="43"/>
      <c r="C1" s="43"/>
      <c r="D1" s="43"/>
      <c r="E1" s="43"/>
    </row>
    <row r="2" spans="1:5" x14ac:dyDescent="0.3">
      <c r="A2" s="4" t="s">
        <v>502</v>
      </c>
      <c r="B2" s="4" t="s">
        <v>31</v>
      </c>
      <c r="C2" s="4" t="s">
        <v>503</v>
      </c>
      <c r="D2" s="4" t="s">
        <v>504</v>
      </c>
      <c r="E2" s="4" t="s">
        <v>234</v>
      </c>
    </row>
    <row r="3" spans="1:5" ht="31.95" customHeight="1" x14ac:dyDescent="0.3">
      <c r="A3" s="30" t="s">
        <v>170</v>
      </c>
      <c r="B3" s="31" t="s">
        <v>505</v>
      </c>
      <c r="C3" s="31" t="s">
        <v>506</v>
      </c>
      <c r="D3" s="31" t="s">
        <v>507</v>
      </c>
      <c r="E3" s="31" t="s">
        <v>508</v>
      </c>
    </row>
    <row r="4" spans="1:5" ht="31.95" customHeight="1" x14ac:dyDescent="0.3">
      <c r="A4" s="32" t="s">
        <v>172</v>
      </c>
      <c r="B4" s="33" t="s">
        <v>509</v>
      </c>
      <c r="C4" s="33" t="s">
        <v>510</v>
      </c>
      <c r="D4" s="33" t="s">
        <v>511</v>
      </c>
      <c r="E4" s="33" t="s">
        <v>512</v>
      </c>
    </row>
    <row r="5" spans="1:5" ht="31.95" customHeight="1" x14ac:dyDescent="0.3">
      <c r="A5" s="30" t="s">
        <v>174</v>
      </c>
      <c r="B5" s="31" t="s">
        <v>513</v>
      </c>
      <c r="C5" s="31" t="s">
        <v>514</v>
      </c>
      <c r="D5" s="31" t="s">
        <v>515</v>
      </c>
      <c r="E5" s="31" t="s">
        <v>516</v>
      </c>
    </row>
    <row r="6" spans="1:5" ht="31.95" customHeight="1" x14ac:dyDescent="0.3">
      <c r="A6" s="32" t="s">
        <v>176</v>
      </c>
      <c r="B6" s="33" t="s">
        <v>517</v>
      </c>
      <c r="C6" s="33" t="s">
        <v>518</v>
      </c>
      <c r="D6" s="33" t="s">
        <v>515</v>
      </c>
      <c r="E6" s="33" t="s">
        <v>519</v>
      </c>
    </row>
    <row r="7" spans="1:5" ht="31.95" customHeight="1" x14ac:dyDescent="0.3">
      <c r="A7" s="30" t="s">
        <v>178</v>
      </c>
      <c r="B7" s="31" t="s">
        <v>520</v>
      </c>
      <c r="C7" s="31" t="s">
        <v>521</v>
      </c>
      <c r="D7" s="31" t="s">
        <v>522</v>
      </c>
      <c r="E7" s="31" t="s">
        <v>523</v>
      </c>
    </row>
    <row r="8" spans="1:5" ht="31.95" customHeight="1" x14ac:dyDescent="0.3">
      <c r="A8" s="32" t="s">
        <v>180</v>
      </c>
      <c r="B8" s="33" t="s">
        <v>524</v>
      </c>
      <c r="C8" s="33" t="s">
        <v>525</v>
      </c>
      <c r="D8" s="33" t="s">
        <v>522</v>
      </c>
      <c r="E8" s="33" t="s">
        <v>526</v>
      </c>
    </row>
  </sheetData>
  <mergeCells count="1">
    <mergeCell ref="A1:E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18"/>
  <sheetViews>
    <sheetView workbookViewId="0"/>
  </sheetViews>
  <sheetFormatPr defaultRowHeight="14.4" x14ac:dyDescent="0.3"/>
  <cols>
    <col min="1" max="1" width="20" customWidth="1"/>
    <col min="2" max="2" width="12" customWidth="1"/>
    <col min="3" max="3" width="14" customWidth="1"/>
    <col min="4" max="5" width="18" customWidth="1"/>
    <col min="6" max="7" width="16" customWidth="1"/>
    <col min="8" max="8" width="12" customWidth="1"/>
    <col min="9" max="9" width="14" customWidth="1"/>
    <col min="10" max="10" width="20" customWidth="1"/>
    <col min="11" max="12" width="12" customWidth="1"/>
    <col min="13" max="13" width="16" customWidth="1"/>
    <col min="14" max="14" width="44" customWidth="1"/>
  </cols>
  <sheetData>
    <row r="1" spans="1:14" x14ac:dyDescent="0.3">
      <c r="A1" s="55" t="s">
        <v>527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</row>
    <row r="2" spans="1:14" x14ac:dyDescent="0.3">
      <c r="A2" s="35" t="s">
        <v>528</v>
      </c>
      <c r="B2" s="35" t="s">
        <v>529</v>
      </c>
      <c r="C2" s="35" t="s">
        <v>530</v>
      </c>
      <c r="D2" s="35" t="s">
        <v>531</v>
      </c>
      <c r="E2" s="35" t="s">
        <v>532</v>
      </c>
      <c r="F2" s="35" t="s">
        <v>533</v>
      </c>
      <c r="G2" s="35" t="s">
        <v>534</v>
      </c>
      <c r="H2" s="35" t="s">
        <v>535</v>
      </c>
      <c r="I2" s="35" t="s">
        <v>536</v>
      </c>
      <c r="J2" s="35" t="s">
        <v>537</v>
      </c>
      <c r="K2" s="35" t="s">
        <v>538</v>
      </c>
      <c r="L2" s="35" t="s">
        <v>539</v>
      </c>
      <c r="M2" s="35" t="s">
        <v>540</v>
      </c>
      <c r="N2" s="35" t="s">
        <v>504</v>
      </c>
    </row>
    <row r="3" spans="1:14" ht="18" customHeight="1" x14ac:dyDescent="0.3">
      <c r="A3" s="23" t="s">
        <v>541</v>
      </c>
      <c r="B3" s="36">
        <v>2.1480000000000001</v>
      </c>
      <c r="C3" s="36">
        <v>-2.8E-3</v>
      </c>
      <c r="D3" s="36">
        <v>190</v>
      </c>
      <c r="E3" s="36">
        <v>195</v>
      </c>
      <c r="F3" s="36">
        <v>65</v>
      </c>
      <c r="G3" s="36">
        <v>70</v>
      </c>
      <c r="H3" s="36" t="s">
        <v>72</v>
      </c>
      <c r="I3" s="36">
        <v>0</v>
      </c>
      <c r="J3" s="36">
        <v>3.5</v>
      </c>
      <c r="K3" s="36">
        <v>180</v>
      </c>
      <c r="L3" s="36">
        <v>1E-3</v>
      </c>
      <c r="M3" s="36" t="s">
        <v>542</v>
      </c>
      <c r="N3" s="37" t="s">
        <v>543</v>
      </c>
    </row>
    <row r="4" spans="1:14" ht="18" customHeight="1" x14ac:dyDescent="0.3">
      <c r="A4" s="27" t="s">
        <v>544</v>
      </c>
      <c r="B4" s="38">
        <v>7.1980000000000004</v>
      </c>
      <c r="C4" s="38">
        <v>-2.8E-3</v>
      </c>
      <c r="D4" s="38">
        <v>190</v>
      </c>
      <c r="E4" s="38">
        <v>195</v>
      </c>
      <c r="F4" s="38">
        <v>65</v>
      </c>
      <c r="G4" s="38">
        <v>70</v>
      </c>
      <c r="H4" s="38" t="s">
        <v>72</v>
      </c>
      <c r="I4" s="38">
        <v>0</v>
      </c>
      <c r="J4" s="38">
        <v>3.5</v>
      </c>
      <c r="K4" s="38">
        <v>180</v>
      </c>
      <c r="L4" s="38">
        <v>1E-3</v>
      </c>
      <c r="M4" s="38" t="s">
        <v>542</v>
      </c>
      <c r="N4" s="39" t="s">
        <v>543</v>
      </c>
    </row>
    <row r="5" spans="1:14" ht="18" customHeight="1" x14ac:dyDescent="0.3">
      <c r="A5" s="23" t="s">
        <v>545</v>
      </c>
      <c r="B5" s="36">
        <v>12.35</v>
      </c>
      <c r="C5" s="36">
        <v>-2.8E-3</v>
      </c>
      <c r="D5" s="36">
        <v>190</v>
      </c>
      <c r="E5" s="36">
        <v>195</v>
      </c>
      <c r="F5" s="36">
        <v>30</v>
      </c>
      <c r="G5" s="36">
        <v>35</v>
      </c>
      <c r="H5" s="36" t="s">
        <v>72</v>
      </c>
      <c r="I5" s="36">
        <v>0</v>
      </c>
      <c r="J5" s="36">
        <v>3.5</v>
      </c>
      <c r="K5" s="36">
        <v>180</v>
      </c>
      <c r="L5" s="36">
        <v>1E-3</v>
      </c>
      <c r="M5" s="36" t="s">
        <v>542</v>
      </c>
      <c r="N5" s="37" t="s">
        <v>543</v>
      </c>
    </row>
    <row r="6" spans="1:14" ht="18" customHeight="1" x14ac:dyDescent="0.3">
      <c r="A6" s="27" t="s">
        <v>546</v>
      </c>
      <c r="B6" s="38">
        <v>4.7560000000000002</v>
      </c>
      <c r="C6" s="38">
        <v>2.0000000000000001E-4</v>
      </c>
      <c r="D6" s="38">
        <v>210</v>
      </c>
      <c r="E6" s="38">
        <v>215</v>
      </c>
      <c r="F6" s="38">
        <v>90</v>
      </c>
      <c r="G6" s="38">
        <v>95</v>
      </c>
      <c r="H6" s="38" t="s">
        <v>547</v>
      </c>
      <c r="I6" s="38">
        <v>5</v>
      </c>
      <c r="J6" s="38">
        <v>1.5</v>
      </c>
      <c r="K6" s="38">
        <v>90</v>
      </c>
      <c r="L6" s="38">
        <v>3.0000000000000001E-3</v>
      </c>
      <c r="M6" s="38" t="s">
        <v>548</v>
      </c>
      <c r="N6" s="39" t="s">
        <v>549</v>
      </c>
    </row>
    <row r="7" spans="1:14" ht="18" customHeight="1" x14ac:dyDescent="0.3">
      <c r="A7" s="23" t="s">
        <v>550</v>
      </c>
      <c r="B7" s="36">
        <v>4.76</v>
      </c>
      <c r="C7" s="36">
        <v>-3.1E-2</v>
      </c>
      <c r="D7" s="36">
        <v>210</v>
      </c>
      <c r="E7" s="36">
        <v>220</v>
      </c>
      <c r="F7" s="36">
        <v>95</v>
      </c>
      <c r="G7" s="36">
        <v>98</v>
      </c>
      <c r="H7" s="36" t="s">
        <v>64</v>
      </c>
      <c r="I7" s="36">
        <v>20</v>
      </c>
      <c r="J7" s="36">
        <v>0.5</v>
      </c>
      <c r="K7" s="36">
        <v>7</v>
      </c>
      <c r="L7" s="36">
        <v>0.05</v>
      </c>
      <c r="M7" s="36" t="s">
        <v>551</v>
      </c>
      <c r="N7" s="37" t="s">
        <v>552</v>
      </c>
    </row>
    <row r="8" spans="1:14" ht="18" customHeight="1" x14ac:dyDescent="0.3">
      <c r="A8" s="27" t="s">
        <v>553</v>
      </c>
      <c r="B8" s="38">
        <v>3.75</v>
      </c>
      <c r="C8" s="38">
        <v>0</v>
      </c>
      <c r="D8" s="38">
        <v>210</v>
      </c>
      <c r="E8" s="38">
        <v>215</v>
      </c>
      <c r="F8" s="38">
        <v>95</v>
      </c>
      <c r="G8" s="38">
        <v>98</v>
      </c>
      <c r="H8" s="38" t="s">
        <v>64</v>
      </c>
      <c r="I8" s="38">
        <v>20</v>
      </c>
      <c r="J8" s="38">
        <v>0.5</v>
      </c>
      <c r="K8" s="38">
        <v>7</v>
      </c>
      <c r="L8" s="38">
        <v>0.05</v>
      </c>
      <c r="M8" s="38" t="s">
        <v>551</v>
      </c>
      <c r="N8" s="39" t="s">
        <v>552</v>
      </c>
    </row>
    <row r="9" spans="1:14" ht="18" customHeight="1" x14ac:dyDescent="0.3">
      <c r="A9" s="23" t="s">
        <v>554</v>
      </c>
      <c r="B9" s="36">
        <v>3.1280000000000001</v>
      </c>
      <c r="C9" s="36">
        <v>-2E-3</v>
      </c>
      <c r="D9" s="36">
        <v>230</v>
      </c>
      <c r="E9" s="36">
        <v>240</v>
      </c>
      <c r="F9" s="36">
        <v>60</v>
      </c>
      <c r="G9" s="36">
        <v>65</v>
      </c>
      <c r="H9" s="36" t="s">
        <v>72</v>
      </c>
      <c r="I9" s="36">
        <v>0</v>
      </c>
      <c r="J9" s="36">
        <v>11.4</v>
      </c>
      <c r="K9" s="36">
        <v>90</v>
      </c>
      <c r="L9" s="36">
        <v>2E-3</v>
      </c>
      <c r="M9" s="36" t="s">
        <v>542</v>
      </c>
      <c r="N9" s="37" t="s">
        <v>555</v>
      </c>
    </row>
    <row r="10" spans="1:14" ht="18" customHeight="1" x14ac:dyDescent="0.3">
      <c r="A10" s="27" t="s">
        <v>556</v>
      </c>
      <c r="B10" s="38">
        <v>4.7610000000000001</v>
      </c>
      <c r="C10" s="38">
        <v>-2E-3</v>
      </c>
      <c r="D10" s="38">
        <v>230</v>
      </c>
      <c r="E10" s="38">
        <v>240</v>
      </c>
      <c r="F10" s="38">
        <v>60</v>
      </c>
      <c r="G10" s="38">
        <v>65</v>
      </c>
      <c r="H10" s="38" t="s">
        <v>72</v>
      </c>
      <c r="I10" s="38">
        <v>0</v>
      </c>
      <c r="J10" s="38">
        <v>11.4</v>
      </c>
      <c r="K10" s="38">
        <v>90</v>
      </c>
      <c r="L10" s="38">
        <v>2E-3</v>
      </c>
      <c r="M10" s="38" t="s">
        <v>542</v>
      </c>
      <c r="N10" s="39" t="s">
        <v>543</v>
      </c>
    </row>
    <row r="11" spans="1:14" ht="18" customHeight="1" x14ac:dyDescent="0.3">
      <c r="A11" s="23" t="s">
        <v>557</v>
      </c>
      <c r="B11" s="36">
        <v>6.3959999999999999</v>
      </c>
      <c r="C11" s="36">
        <v>-2E-3</v>
      </c>
      <c r="D11" s="36">
        <v>230</v>
      </c>
      <c r="E11" s="36">
        <v>240</v>
      </c>
      <c r="F11" s="36">
        <v>60</v>
      </c>
      <c r="G11" s="36">
        <v>65</v>
      </c>
      <c r="H11" s="36" t="s">
        <v>72</v>
      </c>
      <c r="I11" s="36">
        <v>0</v>
      </c>
      <c r="J11" s="36">
        <v>11.4</v>
      </c>
      <c r="K11" s="36">
        <v>90</v>
      </c>
      <c r="L11" s="36">
        <v>2E-3</v>
      </c>
      <c r="M11" s="36" t="s">
        <v>542</v>
      </c>
      <c r="N11" s="37" t="s">
        <v>543</v>
      </c>
    </row>
    <row r="12" spans="1:14" ht="18" customHeight="1" x14ac:dyDescent="0.3">
      <c r="A12" s="27" t="s">
        <v>558</v>
      </c>
      <c r="B12" s="38">
        <v>8.0719999999999992</v>
      </c>
      <c r="C12" s="38">
        <v>-3.1E-2</v>
      </c>
      <c r="D12" s="38">
        <v>220</v>
      </c>
      <c r="E12" s="38">
        <v>230</v>
      </c>
      <c r="F12" s="38">
        <v>85</v>
      </c>
      <c r="G12" s="38">
        <v>90</v>
      </c>
      <c r="H12" s="38" t="s">
        <v>559</v>
      </c>
      <c r="I12" s="38">
        <v>10</v>
      </c>
      <c r="J12" s="38">
        <v>2</v>
      </c>
      <c r="K12" s="38">
        <v>30</v>
      </c>
      <c r="L12" s="38">
        <v>0.01</v>
      </c>
      <c r="M12" s="38" t="s">
        <v>560</v>
      </c>
      <c r="N12" s="39" t="s">
        <v>561</v>
      </c>
    </row>
    <row r="13" spans="1:14" ht="18" customHeight="1" x14ac:dyDescent="0.3">
      <c r="A13" s="23" t="s">
        <v>562</v>
      </c>
      <c r="B13" s="36">
        <v>6.1</v>
      </c>
      <c r="C13" s="36">
        <v>-1.0999999999999999E-2</v>
      </c>
      <c r="D13" s="36">
        <v>230</v>
      </c>
      <c r="E13" s="36">
        <v>240</v>
      </c>
      <c r="F13" s="36">
        <v>80</v>
      </c>
      <c r="G13" s="36">
        <v>85</v>
      </c>
      <c r="H13" s="36" t="s">
        <v>72</v>
      </c>
      <c r="I13" s="36">
        <v>0</v>
      </c>
      <c r="J13" s="36">
        <v>0.5</v>
      </c>
      <c r="K13" s="36">
        <v>90</v>
      </c>
      <c r="L13" s="36">
        <v>2E-3</v>
      </c>
      <c r="M13" s="36" t="s">
        <v>542</v>
      </c>
      <c r="N13" s="37" t="s">
        <v>543</v>
      </c>
    </row>
    <row r="14" spans="1:14" ht="18" customHeight="1" x14ac:dyDescent="0.3">
      <c r="A14" s="27" t="s">
        <v>563</v>
      </c>
      <c r="B14" s="38">
        <v>7.48</v>
      </c>
      <c r="C14" s="38">
        <v>-1.4E-2</v>
      </c>
      <c r="D14" s="38">
        <v>230</v>
      </c>
      <c r="E14" s="38">
        <v>240</v>
      </c>
      <c r="F14" s="38">
        <v>80</v>
      </c>
      <c r="G14" s="38">
        <v>85</v>
      </c>
      <c r="H14" s="38" t="s">
        <v>72</v>
      </c>
      <c r="I14" s="38">
        <v>0</v>
      </c>
      <c r="J14" s="38">
        <v>0.5</v>
      </c>
      <c r="K14" s="38">
        <v>90</v>
      </c>
      <c r="L14" s="38">
        <v>2E-3</v>
      </c>
      <c r="M14" s="38" t="s">
        <v>542</v>
      </c>
      <c r="N14" s="39" t="s">
        <v>543</v>
      </c>
    </row>
    <row r="15" spans="1:14" ht="18" customHeight="1" x14ac:dyDescent="0.3">
      <c r="A15" s="23" t="s">
        <v>564</v>
      </c>
      <c r="B15" s="36">
        <v>9.23</v>
      </c>
      <c r="C15" s="36">
        <v>-8.0000000000000002E-3</v>
      </c>
      <c r="D15" s="36">
        <v>190</v>
      </c>
      <c r="E15" s="36">
        <v>195</v>
      </c>
      <c r="F15" s="36">
        <v>40</v>
      </c>
      <c r="G15" s="36">
        <v>45</v>
      </c>
      <c r="H15" s="36" t="s">
        <v>72</v>
      </c>
      <c r="I15" s="36">
        <v>0</v>
      </c>
      <c r="J15" s="36">
        <v>1</v>
      </c>
      <c r="K15" s="36">
        <v>180</v>
      </c>
      <c r="L15" s="36">
        <v>1E-3</v>
      </c>
      <c r="M15" s="36" t="s">
        <v>542</v>
      </c>
      <c r="N15" s="37" t="s">
        <v>565</v>
      </c>
    </row>
    <row r="16" spans="1:14" ht="18" customHeight="1" x14ac:dyDescent="0.3">
      <c r="A16" s="27" t="s">
        <v>566</v>
      </c>
      <c r="B16" s="38">
        <v>6.3520000000000003</v>
      </c>
      <c r="C16" s="38">
        <v>-5.0000000000000001E-3</v>
      </c>
      <c r="D16" s="38">
        <v>210</v>
      </c>
      <c r="E16" s="38">
        <v>220</v>
      </c>
      <c r="F16" s="38">
        <v>70</v>
      </c>
      <c r="G16" s="38">
        <v>75</v>
      </c>
      <c r="H16" s="38" t="s">
        <v>64</v>
      </c>
      <c r="I16" s="38">
        <v>20</v>
      </c>
      <c r="J16" s="38">
        <v>1</v>
      </c>
      <c r="K16" s="38">
        <v>1</v>
      </c>
      <c r="L16" s="38">
        <v>0.2</v>
      </c>
      <c r="M16" s="38" t="s">
        <v>560</v>
      </c>
      <c r="N16" s="39" t="s">
        <v>567</v>
      </c>
    </row>
    <row r="17" spans="1:14" ht="18" customHeight="1" x14ac:dyDescent="0.3">
      <c r="A17" s="23" t="s">
        <v>568</v>
      </c>
      <c r="B17" s="36">
        <v>10.33</v>
      </c>
      <c r="C17" s="36">
        <v>-1.7999999999999999E-2</v>
      </c>
      <c r="D17" s="36">
        <v>220</v>
      </c>
      <c r="E17" s="36">
        <v>230</v>
      </c>
      <c r="F17" s="36">
        <v>80</v>
      </c>
      <c r="G17" s="36">
        <v>85</v>
      </c>
      <c r="H17" s="36" t="s">
        <v>72</v>
      </c>
      <c r="I17" s="36">
        <v>0</v>
      </c>
      <c r="J17" s="36">
        <v>0.5</v>
      </c>
      <c r="K17" s="36">
        <v>90</v>
      </c>
      <c r="L17" s="36">
        <v>2E-3</v>
      </c>
      <c r="M17" s="36" t="s">
        <v>542</v>
      </c>
      <c r="N17" s="37" t="s">
        <v>543</v>
      </c>
    </row>
    <row r="18" spans="1:14" ht="18" customHeight="1" x14ac:dyDescent="0.3">
      <c r="A18" s="27" t="s">
        <v>569</v>
      </c>
      <c r="B18" s="38">
        <v>3.75</v>
      </c>
      <c r="C18" s="38">
        <v>0</v>
      </c>
      <c r="D18" s="38">
        <v>210</v>
      </c>
      <c r="E18" s="38">
        <v>215</v>
      </c>
      <c r="F18" s="38">
        <v>90</v>
      </c>
      <c r="G18" s="38">
        <v>95</v>
      </c>
      <c r="H18" s="38" t="s">
        <v>64</v>
      </c>
      <c r="I18" s="38">
        <v>20</v>
      </c>
      <c r="J18" s="38">
        <v>1</v>
      </c>
      <c r="K18" s="38">
        <v>90</v>
      </c>
      <c r="L18" s="38">
        <v>2E-3</v>
      </c>
      <c r="M18" s="38" t="s">
        <v>560</v>
      </c>
      <c r="N18" s="39" t="s">
        <v>543</v>
      </c>
    </row>
  </sheetData>
  <mergeCells count="1">
    <mergeCell ref="A1:N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2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20" customWidth="1"/>
    <col min="2" max="2" width="36" customWidth="1"/>
    <col min="3" max="3" width="18" customWidth="1"/>
    <col min="4" max="4" width="54" customWidth="1"/>
    <col min="5" max="5" width="18" customWidth="1"/>
    <col min="6" max="6" width="28" customWidth="1"/>
  </cols>
  <sheetData>
    <row r="1" spans="1:6" ht="15.6" x14ac:dyDescent="0.3">
      <c r="A1" s="56" t="s">
        <v>570</v>
      </c>
      <c r="B1" s="43"/>
      <c r="C1" s="43"/>
      <c r="D1" s="43"/>
      <c r="E1" s="43"/>
      <c r="F1" s="43"/>
    </row>
    <row r="2" spans="1:6" x14ac:dyDescent="0.3">
      <c r="A2" s="40" t="s">
        <v>35</v>
      </c>
      <c r="B2" s="40" t="s">
        <v>37</v>
      </c>
      <c r="C2" s="40" t="s">
        <v>571</v>
      </c>
      <c r="D2" s="40" t="s">
        <v>572</v>
      </c>
      <c r="E2" s="40" t="s">
        <v>233</v>
      </c>
      <c r="F2" s="40" t="s">
        <v>573</v>
      </c>
    </row>
    <row r="3" spans="1:6" x14ac:dyDescent="0.3">
      <c r="A3" s="57">
        <v>46167.995868055557</v>
      </c>
      <c r="B3" t="s">
        <v>5</v>
      </c>
      <c r="C3" t="s">
        <v>718</v>
      </c>
      <c r="E3" t="s">
        <v>719</v>
      </c>
      <c r="F3" t="s">
        <v>720</v>
      </c>
    </row>
    <row r="4" spans="1:6" ht="86.4" x14ac:dyDescent="0.3">
      <c r="A4" s="57">
        <v>46168.00644675926</v>
      </c>
      <c r="B4" t="s">
        <v>5</v>
      </c>
      <c r="C4" t="s">
        <v>718</v>
      </c>
      <c r="D4" s="58" t="s">
        <v>721</v>
      </c>
      <c r="E4" t="s">
        <v>719</v>
      </c>
      <c r="F4" t="s">
        <v>720</v>
      </c>
    </row>
    <row r="5" spans="1:6" x14ac:dyDescent="0.3">
      <c r="A5" s="57">
        <v>46168.009201388886</v>
      </c>
      <c r="B5" t="s">
        <v>5</v>
      </c>
      <c r="C5" t="s">
        <v>718</v>
      </c>
      <c r="D5" t="s">
        <v>722</v>
      </c>
      <c r="E5" t="s">
        <v>719</v>
      </c>
      <c r="F5" t="s">
        <v>720</v>
      </c>
    </row>
    <row r="6" spans="1:6" x14ac:dyDescent="0.3">
      <c r="A6" s="57">
        <v>46168.011111111111</v>
      </c>
      <c r="B6" t="s">
        <v>5</v>
      </c>
      <c r="C6" t="s">
        <v>718</v>
      </c>
      <c r="D6" t="s">
        <v>722</v>
      </c>
      <c r="E6" t="s">
        <v>719</v>
      </c>
      <c r="F6" t="s">
        <v>720</v>
      </c>
    </row>
    <row r="7" spans="1:6" ht="100.8" x14ac:dyDescent="0.3">
      <c r="A7" s="57">
        <v>46168.012986111113</v>
      </c>
      <c r="B7" t="s">
        <v>5</v>
      </c>
      <c r="C7" t="s">
        <v>718</v>
      </c>
      <c r="D7" s="58" t="s">
        <v>723</v>
      </c>
      <c r="E7" t="s">
        <v>719</v>
      </c>
      <c r="F7" t="s">
        <v>720</v>
      </c>
    </row>
    <row r="8" spans="1:6" x14ac:dyDescent="0.3">
      <c r="A8" s="57">
        <v>46168.018692129626</v>
      </c>
      <c r="B8" t="s">
        <v>5</v>
      </c>
      <c r="C8" t="s">
        <v>718</v>
      </c>
    </row>
    <row r="9" spans="1:6" x14ac:dyDescent="0.3">
      <c r="A9" s="57">
        <v>46168.019386574073</v>
      </c>
      <c r="B9" t="s">
        <v>5</v>
      </c>
      <c r="C9" t="s">
        <v>718</v>
      </c>
    </row>
    <row r="10" spans="1:6" x14ac:dyDescent="0.3">
      <c r="A10" s="57">
        <v>46168.020752314813</v>
      </c>
      <c r="B10" t="s">
        <v>5</v>
      </c>
      <c r="C10" t="s">
        <v>718</v>
      </c>
    </row>
    <row r="11" spans="1:6" x14ac:dyDescent="0.3">
      <c r="A11" s="57">
        <v>46168.021932870368</v>
      </c>
      <c r="B11" t="s">
        <v>5</v>
      </c>
      <c r="C11" t="s">
        <v>718</v>
      </c>
    </row>
    <row r="12" spans="1:6" x14ac:dyDescent="0.3">
      <c r="A12" s="57">
        <v>46168.023553240739</v>
      </c>
      <c r="B12" t="s">
        <v>5</v>
      </c>
      <c r="C12" t="s">
        <v>718</v>
      </c>
      <c r="E12" t="s">
        <v>719</v>
      </c>
      <c r="F12" t="s">
        <v>720</v>
      </c>
    </row>
  </sheetData>
  <mergeCells count="1">
    <mergeCell ref="A1:F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201"/>
  <sheetViews>
    <sheetView workbookViewId="0">
      <selection activeCell="A18" sqref="A18"/>
    </sheetView>
  </sheetViews>
  <sheetFormatPr defaultRowHeight="14.4" x14ac:dyDescent="0.3"/>
  <cols>
    <col min="1" max="1" width="120" customWidth="1"/>
  </cols>
  <sheetData>
    <row r="1" spans="1:1" x14ac:dyDescent="0.3">
      <c r="A1" s="34" t="s">
        <v>574</v>
      </c>
    </row>
    <row r="2" spans="1:1" x14ac:dyDescent="0.3">
      <c r="A2" s="41" t="s">
        <v>575</v>
      </c>
    </row>
    <row r="3" spans="1:1" x14ac:dyDescent="0.3">
      <c r="A3" s="41" t="s">
        <v>576</v>
      </c>
    </row>
    <row r="4" spans="1:1" x14ac:dyDescent="0.3">
      <c r="A4" s="41" t="s">
        <v>577</v>
      </c>
    </row>
    <row r="5" spans="1:1" x14ac:dyDescent="0.3">
      <c r="A5" s="41" t="s">
        <v>575</v>
      </c>
    </row>
    <row r="6" spans="1:1" x14ac:dyDescent="0.3">
      <c r="A6" s="41"/>
    </row>
    <row r="7" spans="1:1" x14ac:dyDescent="0.3">
      <c r="A7" s="41" t="s">
        <v>578</v>
      </c>
    </row>
    <row r="8" spans="1:1" x14ac:dyDescent="0.3">
      <c r="A8" s="41"/>
    </row>
    <row r="9" spans="1:1" x14ac:dyDescent="0.3">
      <c r="A9" s="41" t="s">
        <v>579</v>
      </c>
    </row>
    <row r="10" spans="1:1" x14ac:dyDescent="0.3">
      <c r="A10" s="41" t="s">
        <v>580</v>
      </c>
    </row>
    <row r="11" spans="1:1" x14ac:dyDescent="0.3">
      <c r="A11" s="41"/>
    </row>
    <row r="12" spans="1:1" x14ac:dyDescent="0.3">
      <c r="A12" s="41" t="s">
        <v>581</v>
      </c>
    </row>
    <row r="13" spans="1:1" x14ac:dyDescent="0.3">
      <c r="A13" s="41" t="s">
        <v>582</v>
      </c>
    </row>
    <row r="14" spans="1:1" x14ac:dyDescent="0.3">
      <c r="A14" s="41" t="s">
        <v>583</v>
      </c>
    </row>
    <row r="15" spans="1:1" x14ac:dyDescent="0.3">
      <c r="A15" s="41" t="s">
        <v>584</v>
      </c>
    </row>
    <row r="16" spans="1:1" x14ac:dyDescent="0.3">
      <c r="A16" s="41" t="s">
        <v>585</v>
      </c>
    </row>
    <row r="17" spans="1:1" x14ac:dyDescent="0.3">
      <c r="A17" s="41"/>
    </row>
    <row r="18" spans="1:1" x14ac:dyDescent="0.3">
      <c r="A18" s="41" t="s">
        <v>586</v>
      </c>
    </row>
    <row r="19" spans="1:1" x14ac:dyDescent="0.3">
      <c r="A19" s="41" t="s">
        <v>587</v>
      </c>
    </row>
    <row r="20" spans="1:1" x14ac:dyDescent="0.3">
      <c r="A20" s="41" t="s">
        <v>588</v>
      </c>
    </row>
    <row r="21" spans="1:1" x14ac:dyDescent="0.3">
      <c r="A21" s="41" t="s">
        <v>589</v>
      </c>
    </row>
    <row r="22" spans="1:1" x14ac:dyDescent="0.3">
      <c r="A22" s="41"/>
    </row>
    <row r="23" spans="1:1" x14ac:dyDescent="0.3">
      <c r="A23" s="41" t="s">
        <v>590</v>
      </c>
    </row>
    <row r="24" spans="1:1" x14ac:dyDescent="0.3">
      <c r="A24" s="41" t="s">
        <v>591</v>
      </c>
    </row>
    <row r="25" spans="1:1" x14ac:dyDescent="0.3">
      <c r="A25" s="41" t="s">
        <v>592</v>
      </c>
    </row>
    <row r="26" spans="1:1" x14ac:dyDescent="0.3">
      <c r="A26" s="41" t="s">
        <v>593</v>
      </c>
    </row>
    <row r="27" spans="1:1" x14ac:dyDescent="0.3">
      <c r="A27" s="41"/>
    </row>
    <row r="28" spans="1:1" x14ac:dyDescent="0.3">
      <c r="A28" s="41" t="s">
        <v>594</v>
      </c>
    </row>
    <row r="29" spans="1:1" x14ac:dyDescent="0.3">
      <c r="A29" s="41" t="s">
        <v>595</v>
      </c>
    </row>
    <row r="30" spans="1:1" x14ac:dyDescent="0.3">
      <c r="A30" s="41"/>
    </row>
    <row r="31" spans="1:1" x14ac:dyDescent="0.3">
      <c r="A31" s="41" t="s">
        <v>596</v>
      </c>
    </row>
    <row r="32" spans="1:1" x14ac:dyDescent="0.3">
      <c r="A32" s="41"/>
    </row>
    <row r="33" spans="1:1" x14ac:dyDescent="0.3">
      <c r="A33" s="41" t="s">
        <v>597</v>
      </c>
    </row>
    <row r="34" spans="1:1" x14ac:dyDescent="0.3">
      <c r="A34" s="41" t="s">
        <v>598</v>
      </c>
    </row>
    <row r="35" spans="1:1" x14ac:dyDescent="0.3">
      <c r="A35" s="41" t="s">
        <v>599</v>
      </c>
    </row>
    <row r="36" spans="1:1" x14ac:dyDescent="0.3">
      <c r="A36" s="41" t="s">
        <v>600</v>
      </c>
    </row>
    <row r="37" spans="1:1" x14ac:dyDescent="0.3">
      <c r="A37" s="41" t="s">
        <v>601</v>
      </c>
    </row>
    <row r="38" spans="1:1" x14ac:dyDescent="0.3">
      <c r="A38" s="41" t="s">
        <v>602</v>
      </c>
    </row>
    <row r="39" spans="1:1" x14ac:dyDescent="0.3">
      <c r="A39" s="41" t="s">
        <v>603</v>
      </c>
    </row>
    <row r="40" spans="1:1" x14ac:dyDescent="0.3">
      <c r="A40" s="41" t="s">
        <v>604</v>
      </c>
    </row>
    <row r="41" spans="1:1" x14ac:dyDescent="0.3">
      <c r="A41" s="41" t="s">
        <v>605</v>
      </c>
    </row>
    <row r="42" spans="1:1" x14ac:dyDescent="0.3">
      <c r="A42" s="41" t="s">
        <v>606</v>
      </c>
    </row>
    <row r="43" spans="1:1" x14ac:dyDescent="0.3">
      <c r="A43" s="41" t="s">
        <v>607</v>
      </c>
    </row>
    <row r="44" spans="1:1" x14ac:dyDescent="0.3">
      <c r="A44" s="41" t="s">
        <v>608</v>
      </c>
    </row>
    <row r="45" spans="1:1" x14ac:dyDescent="0.3">
      <c r="A45" s="41" t="s">
        <v>609</v>
      </c>
    </row>
    <row r="46" spans="1:1" x14ac:dyDescent="0.3">
      <c r="A46" s="41" t="s">
        <v>610</v>
      </c>
    </row>
    <row r="47" spans="1:1" x14ac:dyDescent="0.3">
      <c r="A47" s="41" t="s">
        <v>593</v>
      </c>
    </row>
    <row r="48" spans="1:1" x14ac:dyDescent="0.3">
      <c r="A48" s="41" t="s">
        <v>611</v>
      </c>
    </row>
    <row r="49" spans="1:1" x14ac:dyDescent="0.3">
      <c r="A49" s="41"/>
    </row>
    <row r="50" spans="1:1" x14ac:dyDescent="0.3">
      <c r="A50" s="41" t="s">
        <v>612</v>
      </c>
    </row>
    <row r="51" spans="1:1" x14ac:dyDescent="0.3">
      <c r="A51" s="41" t="s">
        <v>613</v>
      </c>
    </row>
    <row r="52" spans="1:1" x14ac:dyDescent="0.3">
      <c r="A52" s="41" t="s">
        <v>614</v>
      </c>
    </row>
    <row r="53" spans="1:1" x14ac:dyDescent="0.3">
      <c r="A53" s="41" t="s">
        <v>615</v>
      </c>
    </row>
    <row r="54" spans="1:1" x14ac:dyDescent="0.3">
      <c r="A54" s="41" t="s">
        <v>590</v>
      </c>
    </row>
    <row r="55" spans="1:1" x14ac:dyDescent="0.3">
      <c r="A55" s="41" t="s">
        <v>616</v>
      </c>
    </row>
    <row r="56" spans="1:1" x14ac:dyDescent="0.3">
      <c r="A56" s="41" t="s">
        <v>592</v>
      </c>
    </row>
    <row r="57" spans="1:1" x14ac:dyDescent="0.3">
      <c r="A57" s="41" t="s">
        <v>593</v>
      </c>
    </row>
    <row r="58" spans="1:1" x14ac:dyDescent="0.3">
      <c r="A58" s="41" t="s">
        <v>617</v>
      </c>
    </row>
    <row r="59" spans="1:1" x14ac:dyDescent="0.3">
      <c r="A59" s="41" t="s">
        <v>618</v>
      </c>
    </row>
    <row r="60" spans="1:1" x14ac:dyDescent="0.3">
      <c r="A60" s="41" t="s">
        <v>619</v>
      </c>
    </row>
    <row r="61" spans="1:1" x14ac:dyDescent="0.3">
      <c r="A61" s="41" t="s">
        <v>620</v>
      </c>
    </row>
    <row r="62" spans="1:1" x14ac:dyDescent="0.3">
      <c r="A62" s="41" t="s">
        <v>607</v>
      </c>
    </row>
    <row r="63" spans="1:1" x14ac:dyDescent="0.3">
      <c r="A63" s="41" t="s">
        <v>621</v>
      </c>
    </row>
    <row r="64" spans="1:1" x14ac:dyDescent="0.3">
      <c r="A64" s="41" t="s">
        <v>622</v>
      </c>
    </row>
    <row r="65" spans="1:1" x14ac:dyDescent="0.3">
      <c r="A65" s="41" t="s">
        <v>593</v>
      </c>
    </row>
    <row r="66" spans="1:1" x14ac:dyDescent="0.3">
      <c r="A66" s="41" t="s">
        <v>611</v>
      </c>
    </row>
    <row r="67" spans="1:1" x14ac:dyDescent="0.3">
      <c r="A67" s="41"/>
    </row>
    <row r="68" spans="1:1" x14ac:dyDescent="0.3">
      <c r="A68" s="41" t="s">
        <v>623</v>
      </c>
    </row>
    <row r="69" spans="1:1" x14ac:dyDescent="0.3">
      <c r="A69" s="41" t="s">
        <v>624</v>
      </c>
    </row>
    <row r="70" spans="1:1" x14ac:dyDescent="0.3">
      <c r="A70" s="41" t="s">
        <v>625</v>
      </c>
    </row>
    <row r="71" spans="1:1" x14ac:dyDescent="0.3">
      <c r="A71" s="41" t="s">
        <v>626</v>
      </c>
    </row>
    <row r="72" spans="1:1" x14ac:dyDescent="0.3">
      <c r="A72" s="41" t="s">
        <v>627</v>
      </c>
    </row>
    <row r="73" spans="1:1" x14ac:dyDescent="0.3">
      <c r="A73" s="41" t="s">
        <v>628</v>
      </c>
    </row>
    <row r="74" spans="1:1" x14ac:dyDescent="0.3">
      <c r="A74" s="41" t="s">
        <v>611</v>
      </c>
    </row>
    <row r="75" spans="1:1" x14ac:dyDescent="0.3">
      <c r="A75" s="41"/>
    </row>
    <row r="76" spans="1:1" x14ac:dyDescent="0.3">
      <c r="A76" s="41" t="s">
        <v>629</v>
      </c>
    </row>
    <row r="77" spans="1:1" x14ac:dyDescent="0.3">
      <c r="A77" s="41" t="s">
        <v>630</v>
      </c>
    </row>
    <row r="78" spans="1:1" x14ac:dyDescent="0.3">
      <c r="A78" s="41" t="s">
        <v>631</v>
      </c>
    </row>
    <row r="79" spans="1:1" x14ac:dyDescent="0.3">
      <c r="A79" s="41" t="s">
        <v>632</v>
      </c>
    </row>
    <row r="80" spans="1:1" x14ac:dyDescent="0.3">
      <c r="A80" s="41" t="s">
        <v>633</v>
      </c>
    </row>
    <row r="81" spans="1:1" x14ac:dyDescent="0.3">
      <c r="A81" s="41" t="s">
        <v>634</v>
      </c>
    </row>
    <row r="82" spans="1:1" x14ac:dyDescent="0.3">
      <c r="A82" s="41"/>
    </row>
    <row r="83" spans="1:1" x14ac:dyDescent="0.3">
      <c r="A83" s="41" t="s">
        <v>635</v>
      </c>
    </row>
    <row r="84" spans="1:1" x14ac:dyDescent="0.3">
      <c r="A84" s="41" t="s">
        <v>636</v>
      </c>
    </row>
    <row r="85" spans="1:1" x14ac:dyDescent="0.3">
      <c r="A85" s="41" t="s">
        <v>637</v>
      </c>
    </row>
    <row r="86" spans="1:1" x14ac:dyDescent="0.3">
      <c r="A86" s="41" t="s">
        <v>638</v>
      </c>
    </row>
    <row r="87" spans="1:1" x14ac:dyDescent="0.3">
      <c r="A87" s="41"/>
    </row>
    <row r="88" spans="1:1" x14ac:dyDescent="0.3">
      <c r="A88" s="41" t="s">
        <v>639</v>
      </c>
    </row>
    <row r="89" spans="1:1" x14ac:dyDescent="0.3">
      <c r="A89" s="41" t="s">
        <v>640</v>
      </c>
    </row>
    <row r="90" spans="1:1" x14ac:dyDescent="0.3">
      <c r="A90" s="41" t="s">
        <v>641</v>
      </c>
    </row>
    <row r="91" spans="1:1" x14ac:dyDescent="0.3">
      <c r="A91" s="41" t="s">
        <v>642</v>
      </c>
    </row>
    <row r="92" spans="1:1" x14ac:dyDescent="0.3">
      <c r="A92" s="41" t="s">
        <v>643</v>
      </c>
    </row>
    <row r="93" spans="1:1" x14ac:dyDescent="0.3">
      <c r="A93" s="41" t="s">
        <v>644</v>
      </c>
    </row>
    <row r="94" spans="1:1" x14ac:dyDescent="0.3">
      <c r="A94" s="41" t="s">
        <v>607</v>
      </c>
    </row>
    <row r="95" spans="1:1" x14ac:dyDescent="0.3">
      <c r="A95" s="41" t="s">
        <v>645</v>
      </c>
    </row>
    <row r="96" spans="1:1" x14ac:dyDescent="0.3">
      <c r="A96" s="41" t="s">
        <v>593</v>
      </c>
    </row>
    <row r="97" spans="1:1" x14ac:dyDescent="0.3">
      <c r="A97" s="41"/>
    </row>
    <row r="98" spans="1:1" x14ac:dyDescent="0.3">
      <c r="A98" s="41" t="s">
        <v>646</v>
      </c>
    </row>
    <row r="99" spans="1:1" x14ac:dyDescent="0.3">
      <c r="A99" s="41" t="s">
        <v>647</v>
      </c>
    </row>
    <row r="100" spans="1:1" x14ac:dyDescent="0.3">
      <c r="A100" s="41"/>
    </row>
    <row r="101" spans="1:1" x14ac:dyDescent="0.3">
      <c r="A101" s="41" t="s">
        <v>648</v>
      </c>
    </row>
    <row r="102" spans="1:1" x14ac:dyDescent="0.3">
      <c r="A102" s="41" t="s">
        <v>649</v>
      </c>
    </row>
    <row r="103" spans="1:1" x14ac:dyDescent="0.3">
      <c r="A103" s="41"/>
    </row>
    <row r="104" spans="1:1" x14ac:dyDescent="0.3">
      <c r="A104" s="41" t="s">
        <v>650</v>
      </c>
    </row>
    <row r="105" spans="1:1" x14ac:dyDescent="0.3">
      <c r="A105" s="41" t="s">
        <v>651</v>
      </c>
    </row>
    <row r="106" spans="1:1" x14ac:dyDescent="0.3">
      <c r="A106" s="41" t="s">
        <v>652</v>
      </c>
    </row>
    <row r="107" spans="1:1" x14ac:dyDescent="0.3">
      <c r="A107" s="41" t="s">
        <v>653</v>
      </c>
    </row>
    <row r="108" spans="1:1" x14ac:dyDescent="0.3">
      <c r="A108" s="41" t="s">
        <v>654</v>
      </c>
    </row>
    <row r="109" spans="1:1" x14ac:dyDescent="0.3">
      <c r="A109" s="41" t="s">
        <v>655</v>
      </c>
    </row>
    <row r="110" spans="1:1" x14ac:dyDescent="0.3">
      <c r="A110" s="41" t="s">
        <v>605</v>
      </c>
    </row>
    <row r="111" spans="1:1" x14ac:dyDescent="0.3">
      <c r="A111" s="41" t="s">
        <v>656</v>
      </c>
    </row>
    <row r="112" spans="1:1" x14ac:dyDescent="0.3">
      <c r="A112" s="41"/>
    </row>
    <row r="113" spans="1:1" x14ac:dyDescent="0.3">
      <c r="A113" s="41" t="s">
        <v>657</v>
      </c>
    </row>
    <row r="114" spans="1:1" x14ac:dyDescent="0.3">
      <c r="A114" s="41"/>
    </row>
    <row r="115" spans="1:1" x14ac:dyDescent="0.3">
      <c r="A115" s="41" t="s">
        <v>658</v>
      </c>
    </row>
    <row r="116" spans="1:1" x14ac:dyDescent="0.3">
      <c r="A116" s="41" t="s">
        <v>659</v>
      </c>
    </row>
    <row r="117" spans="1:1" x14ac:dyDescent="0.3">
      <c r="A117" s="41" t="s">
        <v>660</v>
      </c>
    </row>
    <row r="118" spans="1:1" x14ac:dyDescent="0.3">
      <c r="A118" s="41" t="s">
        <v>661</v>
      </c>
    </row>
    <row r="119" spans="1:1" x14ac:dyDescent="0.3">
      <c r="A119" s="41" t="s">
        <v>662</v>
      </c>
    </row>
    <row r="120" spans="1:1" x14ac:dyDescent="0.3">
      <c r="A120" s="41"/>
    </row>
    <row r="121" spans="1:1" x14ac:dyDescent="0.3">
      <c r="A121" s="41" t="s">
        <v>663</v>
      </c>
    </row>
    <row r="122" spans="1:1" x14ac:dyDescent="0.3">
      <c r="A122" s="41" t="s">
        <v>664</v>
      </c>
    </row>
    <row r="123" spans="1:1" x14ac:dyDescent="0.3">
      <c r="A123" s="41" t="s">
        <v>665</v>
      </c>
    </row>
    <row r="124" spans="1:1" x14ac:dyDescent="0.3">
      <c r="A124" s="41" t="s">
        <v>666</v>
      </c>
    </row>
    <row r="125" spans="1:1" x14ac:dyDescent="0.3">
      <c r="A125" s="41" t="s">
        <v>667</v>
      </c>
    </row>
    <row r="126" spans="1:1" x14ac:dyDescent="0.3">
      <c r="A126" s="41" t="s">
        <v>668</v>
      </c>
    </row>
    <row r="127" spans="1:1" x14ac:dyDescent="0.3">
      <c r="A127" s="41"/>
    </row>
    <row r="128" spans="1:1" x14ac:dyDescent="0.3">
      <c r="A128" s="41" t="s">
        <v>669</v>
      </c>
    </row>
    <row r="129" spans="1:1" x14ac:dyDescent="0.3">
      <c r="A129" s="41" t="s">
        <v>670</v>
      </c>
    </row>
    <row r="130" spans="1:1" x14ac:dyDescent="0.3">
      <c r="A130" s="41" t="s">
        <v>671</v>
      </c>
    </row>
    <row r="131" spans="1:1" x14ac:dyDescent="0.3">
      <c r="A131" s="41" t="s">
        <v>672</v>
      </c>
    </row>
    <row r="132" spans="1:1" x14ac:dyDescent="0.3">
      <c r="A132" s="41" t="s">
        <v>673</v>
      </c>
    </row>
    <row r="133" spans="1:1" x14ac:dyDescent="0.3">
      <c r="A133" s="41" t="s">
        <v>674</v>
      </c>
    </row>
    <row r="134" spans="1:1" x14ac:dyDescent="0.3">
      <c r="A134" s="41" t="s">
        <v>675</v>
      </c>
    </row>
    <row r="135" spans="1:1" x14ac:dyDescent="0.3">
      <c r="A135" s="41" t="s">
        <v>676</v>
      </c>
    </row>
    <row r="136" spans="1:1" x14ac:dyDescent="0.3">
      <c r="A136" s="41" t="s">
        <v>677</v>
      </c>
    </row>
    <row r="137" spans="1:1" x14ac:dyDescent="0.3">
      <c r="A137" s="41" t="s">
        <v>678</v>
      </c>
    </row>
    <row r="138" spans="1:1" x14ac:dyDescent="0.3">
      <c r="A138" s="41" t="s">
        <v>679</v>
      </c>
    </row>
    <row r="139" spans="1:1" x14ac:dyDescent="0.3">
      <c r="A139" s="41" t="s">
        <v>680</v>
      </c>
    </row>
    <row r="140" spans="1:1" x14ac:dyDescent="0.3">
      <c r="A140" s="41" t="s">
        <v>681</v>
      </c>
    </row>
    <row r="141" spans="1:1" x14ac:dyDescent="0.3">
      <c r="A141" s="41" t="s">
        <v>682</v>
      </c>
    </row>
    <row r="142" spans="1:1" x14ac:dyDescent="0.3">
      <c r="A142" s="41"/>
    </row>
    <row r="143" spans="1:1" x14ac:dyDescent="0.3">
      <c r="A143" s="41" t="s">
        <v>683</v>
      </c>
    </row>
    <row r="144" spans="1:1" x14ac:dyDescent="0.3">
      <c r="A144" s="41" t="s">
        <v>684</v>
      </c>
    </row>
    <row r="145" spans="1:1" x14ac:dyDescent="0.3">
      <c r="A145" s="41" t="s">
        <v>685</v>
      </c>
    </row>
    <row r="146" spans="1:1" x14ac:dyDescent="0.3">
      <c r="A146" s="41"/>
    </row>
    <row r="147" spans="1:1" x14ac:dyDescent="0.3">
      <c r="A147" s="41" t="s">
        <v>686</v>
      </c>
    </row>
    <row r="148" spans="1:1" x14ac:dyDescent="0.3">
      <c r="A148" s="41" t="s">
        <v>687</v>
      </c>
    </row>
    <row r="149" spans="1:1" x14ac:dyDescent="0.3">
      <c r="A149" s="41" t="s">
        <v>593</v>
      </c>
    </row>
    <row r="150" spans="1:1" x14ac:dyDescent="0.3">
      <c r="A150" s="41" t="s">
        <v>688</v>
      </c>
    </row>
    <row r="151" spans="1:1" x14ac:dyDescent="0.3">
      <c r="A151" s="41" t="s">
        <v>689</v>
      </c>
    </row>
    <row r="152" spans="1:1" x14ac:dyDescent="0.3">
      <c r="A152" s="41" t="s">
        <v>593</v>
      </c>
    </row>
    <row r="153" spans="1:1" x14ac:dyDescent="0.3">
      <c r="A153" s="41" t="s">
        <v>611</v>
      </c>
    </row>
    <row r="154" spans="1:1" x14ac:dyDescent="0.3">
      <c r="A154" s="41"/>
    </row>
    <row r="155" spans="1:1" x14ac:dyDescent="0.3">
      <c r="A155" s="41" t="s">
        <v>690</v>
      </c>
    </row>
    <row r="156" spans="1:1" x14ac:dyDescent="0.3">
      <c r="A156" s="41" t="s">
        <v>691</v>
      </c>
    </row>
    <row r="157" spans="1:1" x14ac:dyDescent="0.3">
      <c r="A157" s="41" t="s">
        <v>625</v>
      </c>
    </row>
    <row r="158" spans="1:1" x14ac:dyDescent="0.3">
      <c r="A158" s="41" t="s">
        <v>692</v>
      </c>
    </row>
    <row r="159" spans="1:1" x14ac:dyDescent="0.3">
      <c r="A159" s="41" t="s">
        <v>693</v>
      </c>
    </row>
    <row r="160" spans="1:1" x14ac:dyDescent="0.3">
      <c r="A160" s="41" t="s">
        <v>694</v>
      </c>
    </row>
    <row r="161" spans="1:1" x14ac:dyDescent="0.3">
      <c r="A161" s="41" t="s">
        <v>628</v>
      </c>
    </row>
    <row r="162" spans="1:1" x14ac:dyDescent="0.3">
      <c r="A162" s="41" t="s">
        <v>611</v>
      </c>
    </row>
    <row r="163" spans="1:1" x14ac:dyDescent="0.3">
      <c r="A163" s="41"/>
    </row>
    <row r="164" spans="1:1" x14ac:dyDescent="0.3">
      <c r="A164" s="41" t="s">
        <v>695</v>
      </c>
    </row>
    <row r="165" spans="1:1" x14ac:dyDescent="0.3">
      <c r="A165" s="41" t="s">
        <v>696</v>
      </c>
    </row>
    <row r="166" spans="1:1" x14ac:dyDescent="0.3">
      <c r="A166" s="41" t="s">
        <v>697</v>
      </c>
    </row>
    <row r="167" spans="1:1" x14ac:dyDescent="0.3">
      <c r="A167" s="41" t="s">
        <v>698</v>
      </c>
    </row>
    <row r="168" spans="1:1" x14ac:dyDescent="0.3">
      <c r="A168" s="41" t="s">
        <v>699</v>
      </c>
    </row>
    <row r="169" spans="1:1" x14ac:dyDescent="0.3">
      <c r="A169" s="41" t="s">
        <v>700</v>
      </c>
    </row>
    <row r="170" spans="1:1" x14ac:dyDescent="0.3">
      <c r="A170" s="41" t="s">
        <v>701</v>
      </c>
    </row>
    <row r="171" spans="1:1" x14ac:dyDescent="0.3">
      <c r="A171" s="41" t="s">
        <v>605</v>
      </c>
    </row>
    <row r="172" spans="1:1" x14ac:dyDescent="0.3">
      <c r="A172" s="41" t="s">
        <v>702</v>
      </c>
    </row>
    <row r="173" spans="1:1" x14ac:dyDescent="0.3">
      <c r="A173" s="41" t="s">
        <v>703</v>
      </c>
    </row>
    <row r="174" spans="1:1" x14ac:dyDescent="0.3">
      <c r="A174" s="41" t="s">
        <v>662</v>
      </c>
    </row>
    <row r="175" spans="1:1" x14ac:dyDescent="0.3">
      <c r="A175" s="41"/>
    </row>
    <row r="176" spans="1:1" x14ac:dyDescent="0.3">
      <c r="A176" s="41" t="s">
        <v>704</v>
      </c>
    </row>
    <row r="177" spans="1:1" x14ac:dyDescent="0.3">
      <c r="A177" s="41" t="s">
        <v>665</v>
      </c>
    </row>
    <row r="178" spans="1:1" x14ac:dyDescent="0.3">
      <c r="A178" s="41" t="s">
        <v>705</v>
      </c>
    </row>
    <row r="179" spans="1:1" x14ac:dyDescent="0.3">
      <c r="A179" s="41" t="s">
        <v>667</v>
      </c>
    </row>
    <row r="180" spans="1:1" x14ac:dyDescent="0.3">
      <c r="A180" s="41" t="s">
        <v>668</v>
      </c>
    </row>
    <row r="181" spans="1:1" x14ac:dyDescent="0.3">
      <c r="A181" s="41" t="s">
        <v>706</v>
      </c>
    </row>
    <row r="182" spans="1:1" x14ac:dyDescent="0.3">
      <c r="A182" s="41" t="s">
        <v>707</v>
      </c>
    </row>
    <row r="183" spans="1:1" x14ac:dyDescent="0.3">
      <c r="A183" s="41" t="s">
        <v>708</v>
      </c>
    </row>
    <row r="184" spans="1:1" x14ac:dyDescent="0.3">
      <c r="A184" s="41" t="s">
        <v>709</v>
      </c>
    </row>
    <row r="185" spans="1:1" x14ac:dyDescent="0.3">
      <c r="A185" s="41" t="s">
        <v>710</v>
      </c>
    </row>
    <row r="186" spans="1:1" x14ac:dyDescent="0.3">
      <c r="A186" s="41" t="s">
        <v>711</v>
      </c>
    </row>
    <row r="187" spans="1:1" x14ac:dyDescent="0.3">
      <c r="A187" s="41" t="s">
        <v>611</v>
      </c>
    </row>
    <row r="188" spans="1:1" x14ac:dyDescent="0.3">
      <c r="A188" s="41"/>
    </row>
    <row r="189" spans="1:1" x14ac:dyDescent="0.3">
      <c r="A189" s="41" t="s">
        <v>712</v>
      </c>
    </row>
    <row r="190" spans="1:1" x14ac:dyDescent="0.3">
      <c r="A190" s="41" t="s">
        <v>659</v>
      </c>
    </row>
    <row r="191" spans="1:1" x14ac:dyDescent="0.3">
      <c r="A191" s="41" t="s">
        <v>713</v>
      </c>
    </row>
    <row r="192" spans="1:1" x14ac:dyDescent="0.3">
      <c r="A192" s="41" t="s">
        <v>714</v>
      </c>
    </row>
    <row r="193" spans="1:1" x14ac:dyDescent="0.3">
      <c r="A193" s="41" t="s">
        <v>661</v>
      </c>
    </row>
    <row r="194" spans="1:1" x14ac:dyDescent="0.3">
      <c r="A194" s="41" t="s">
        <v>662</v>
      </c>
    </row>
    <row r="195" spans="1:1" x14ac:dyDescent="0.3">
      <c r="A195" s="41"/>
    </row>
    <row r="196" spans="1:1" x14ac:dyDescent="0.3">
      <c r="A196" s="41" t="s">
        <v>715</v>
      </c>
    </row>
    <row r="197" spans="1:1" x14ac:dyDescent="0.3">
      <c r="A197" s="41" t="s">
        <v>659</v>
      </c>
    </row>
    <row r="198" spans="1:1" x14ac:dyDescent="0.3">
      <c r="A198" s="41" t="s">
        <v>716</v>
      </c>
    </row>
    <row r="199" spans="1:1" x14ac:dyDescent="0.3">
      <c r="A199" s="41" t="s">
        <v>717</v>
      </c>
    </row>
    <row r="200" spans="1:1" x14ac:dyDescent="0.3">
      <c r="A200" s="41" t="s">
        <v>661</v>
      </c>
    </row>
    <row r="201" spans="1:1" x14ac:dyDescent="0.3">
      <c r="A201" s="41" t="s">
        <v>662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SEARCH HISTORY</vt:lpstr>
      <vt:lpstr>SETTINGS</vt:lpstr>
      <vt:lpstr>TEMPLATES</vt:lpstr>
      <vt:lpstr>HELP</vt:lpstr>
      <vt:lpstr>ABOUT</vt:lpstr>
      <vt:lpstr>REFERENCES_MASTER</vt:lpstr>
      <vt:lpstr>HSM_COEFFICIENTS</vt:lpstr>
      <vt:lpstr>BUFFER_DATABASE</vt:lpstr>
      <vt:lpstr>ERROR_LOG</vt:lpstr>
      <vt:lpstr>VBA_CODE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Subhra Prasad Chakraborty</cp:lastModifiedBy>
  <dcterms:created xsi:type="dcterms:W3CDTF">2026-04-19T18:21:57Z</dcterms:created>
  <dcterms:modified xsi:type="dcterms:W3CDTF">2026-05-26T07:51:07Z</dcterms:modified>
</cp:coreProperties>
</file>